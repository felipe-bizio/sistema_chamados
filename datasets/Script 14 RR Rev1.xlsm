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003ws5f\Documents\Python\Chamados\"/>
    </mc:Choice>
  </mc:AlternateContent>
  <xr:revisionPtr revIDLastSave="0" documentId="13_ncr:1_{E16E6E04-F56A-42EA-8CD5-704A72661534}" xr6:coauthVersionLast="47" xr6:coauthVersionMax="47" xr10:uidLastSave="{00000000-0000-0000-0000-000000000000}"/>
  <bookViews>
    <workbookView xWindow="-108" yWindow="-108" windowWidth="23256" windowHeight="12456" xr2:uid="{3C8E31D4-A047-4EA5-BD2F-50A9B790CFCF}"/>
  </bookViews>
  <sheets>
    <sheet name="Script eVO MS | MA" sheetId="1" r:id="rId1"/>
    <sheet name="Script FollowUp" sheetId="5" r:id="rId2"/>
    <sheet name="Script eVO MP" sheetId="7" r:id="rId3"/>
    <sheet name="Notas E-mails" sheetId="8" r:id="rId4"/>
    <sheet name="DataBase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2" l="1"/>
  <c r="D29" i="2"/>
  <c r="E29" i="2"/>
  <c r="C29" i="2"/>
  <c r="C8" i="2"/>
  <c r="F8" i="2"/>
  <c r="E12" i="2"/>
  <c r="D12" i="2"/>
  <c r="C12" i="2"/>
  <c r="D8" i="2"/>
  <c r="C7" i="2"/>
  <c r="C6" i="2"/>
  <c r="C10" i="2"/>
  <c r="C11" i="2"/>
  <c r="S8" i="2"/>
  <c r="R8" i="2"/>
  <c r="Q8" i="2"/>
  <c r="P8" i="2"/>
  <c r="O8" i="2"/>
  <c r="N8" i="2"/>
  <c r="M8" i="2"/>
  <c r="L8" i="2"/>
  <c r="K8" i="2"/>
  <c r="J8" i="2"/>
  <c r="I8" i="2"/>
  <c r="H8" i="2"/>
  <c r="G8" i="2"/>
  <c r="E8" i="2"/>
  <c r="C3" i="2"/>
  <c r="C4" i="2"/>
  <c r="C35" i="2"/>
  <c r="C34" i="2"/>
  <c r="C13" i="2"/>
  <c r="C30" i="2"/>
  <c r="C47" i="2"/>
  <c r="C46" i="2"/>
  <c r="I45" i="2"/>
  <c r="H45" i="2"/>
  <c r="G45" i="2"/>
  <c r="F45" i="2"/>
  <c r="E45" i="2"/>
  <c r="D45" i="2"/>
  <c r="C45" i="2"/>
  <c r="C38" i="2"/>
  <c r="C39" i="2"/>
  <c r="C40" i="2"/>
  <c r="C42" i="2"/>
  <c r="C43" i="2"/>
  <c r="C44" i="2"/>
  <c r="C37" i="2"/>
  <c r="C36" i="2"/>
  <c r="C33" i="2"/>
  <c r="BT3" i="7"/>
  <c r="C2" i="2"/>
  <c r="I29" i="2"/>
  <c r="H29" i="2"/>
  <c r="G29" i="2"/>
  <c r="F29" i="2"/>
  <c r="C28" i="2"/>
  <c r="C26" i="2"/>
  <c r="C25" i="2"/>
  <c r="C22" i="2"/>
  <c r="C20" i="2"/>
  <c r="C19" i="2"/>
  <c r="C27" i="2"/>
  <c r="C31" i="2"/>
  <c r="C21" i="2"/>
  <c r="C18" i="2"/>
  <c r="C9" i="2"/>
  <c r="C5" i="2"/>
</calcChain>
</file>

<file path=xl/sharedStrings.xml><?xml version="1.0" encoding="utf-8"?>
<sst xmlns="http://schemas.openxmlformats.org/spreadsheetml/2006/main" count="296" uniqueCount="163">
  <si>
    <t xml:space="preserve">CSE: </t>
  </si>
  <si>
    <t>Status do equipamento:</t>
  </si>
  <si>
    <t>Descrição do problema:</t>
  </si>
  <si>
    <t>Qual a validação realizada após intervenção técnica?</t>
  </si>
  <si>
    <t xml:space="preserve">Funcionando adequadamente. </t>
  </si>
  <si>
    <t>Qual o problema reportado pelo cliente?</t>
  </si>
  <si>
    <t xml:space="preserve">Parado. </t>
  </si>
  <si>
    <t xml:space="preserve">Funcionamento parcialmente. </t>
  </si>
  <si>
    <t>Status do chamado:</t>
  </si>
  <si>
    <t xml:space="preserve">Finalizado. </t>
  </si>
  <si>
    <t xml:space="preserve"> </t>
  </si>
  <si>
    <t>Observações adicionais caso necessário:</t>
  </si>
  <si>
    <t xml:space="preserve">Permanecerá aberto para acompanhamento. </t>
  </si>
  <si>
    <t xml:space="preserve">Permanecerá aberto aguardando peças. </t>
  </si>
  <si>
    <t xml:space="preserve">Sim. </t>
  </si>
  <si>
    <t>Qual a causa raiz?</t>
  </si>
  <si>
    <t>Peças consumidas:</t>
  </si>
  <si>
    <t xml:space="preserve">Não. </t>
  </si>
  <si>
    <t>Nome da peça</t>
  </si>
  <si>
    <t>SMN</t>
  </si>
  <si>
    <t>Batch ID</t>
  </si>
  <si>
    <t xml:space="preserve"> | SMN: </t>
  </si>
  <si>
    <t xml:space="preserve"> | Batch ID: </t>
  </si>
  <si>
    <t xml:space="preserve">. </t>
  </si>
  <si>
    <t>Tentei obter a assinatura do cliente, mas não havia nenhum representante disponivel no momento do serviço, razão pela qual foi impossivel colher a assinatura do cliente na Ordem de serviço.</t>
  </si>
  <si>
    <t>Procedimentos realizados:</t>
  </si>
  <si>
    <t xml:space="preserve">C1 - Problema técnico. </t>
  </si>
  <si>
    <t xml:space="preserve">C2 - Problema infraestrutura. </t>
  </si>
  <si>
    <t>Classificação do chamado:</t>
  </si>
  <si>
    <t xml:space="preserve">C3 - Problema operacional. </t>
  </si>
  <si>
    <t xml:space="preserve">C4 - Assessoria científica. </t>
  </si>
  <si>
    <t>C5 - Atualização de sistema.</t>
  </si>
  <si>
    <t>E-mail Pesquisa Satisfação:</t>
  </si>
  <si>
    <t xml:space="preserve">SCO1 - Problema já resolvido ou não apresentado na visita técnica. </t>
  </si>
  <si>
    <t>Número do Chamado:</t>
  </si>
  <si>
    <t xml:space="preserve">SCO2 - Falta de limpeza | Remoção de lixo. </t>
  </si>
  <si>
    <t>Observação da assinatura:</t>
  </si>
  <si>
    <t xml:space="preserve">SCO3 - Erro de cubetas | Film. </t>
  </si>
  <si>
    <t>SCO4 - Erro nas probes (danificada | falta troca).</t>
  </si>
  <si>
    <t xml:space="preserve">SCO5 - Falta ou falha nos consumíveis (lâmpada, cubetas, soluções, etc). </t>
  </si>
  <si>
    <t xml:space="preserve">SCO6 - Problemas com o software (má operação | falta de treinamento). </t>
  </si>
  <si>
    <t xml:space="preserve">SCO7 - Interfaceamento (não há problemas no sistema). </t>
  </si>
  <si>
    <t>SCO8 - Magline suja | Etiquetas com problema.</t>
  </si>
  <si>
    <t xml:space="preserve">SCO9 - Outros. </t>
  </si>
  <si>
    <t>Informações para Coordenação de Atendimentos.</t>
  </si>
  <si>
    <t>Informações para o próximo CSE que irá continuar o atendimento:</t>
  </si>
  <si>
    <t xml:space="preserve">Tempo previsto para próxima visita? </t>
  </si>
  <si>
    <t xml:space="preserve"> hora(s). </t>
  </si>
  <si>
    <t xml:space="preserve">Fixo. </t>
  </si>
  <si>
    <t xml:space="preserve">Tempo previsto reenvio do chamado? </t>
  </si>
  <si>
    <t xml:space="preserve"> dia(s). </t>
  </si>
  <si>
    <t xml:space="preserve">Reproduzível. </t>
  </si>
  <si>
    <t>O problema é:</t>
  </si>
  <si>
    <t xml:space="preserve">Complexidade do atendimento? </t>
  </si>
  <si>
    <t xml:space="preserve">Intermitente. </t>
  </si>
  <si>
    <t>Ferramentas especiais:</t>
  </si>
  <si>
    <t>Plano de ação para o próximo atendimento?</t>
  </si>
  <si>
    <t>Descreva abaixo os detalhes caso houver necessidade de ferramentas especiais.</t>
  </si>
  <si>
    <t xml:space="preserve">Baixa. </t>
  </si>
  <si>
    <t xml:space="preserve">Média. </t>
  </si>
  <si>
    <t xml:space="preserve">Alta. </t>
  </si>
  <si>
    <t>Peças solicitadas para o próximo atendimento?</t>
  </si>
  <si>
    <t>1 - Envio de mais peças (agendar ida CSE e cliente (parada equipamento).</t>
  </si>
  <si>
    <t xml:space="preserve">2 - Peças em teste (sem retorno CSE e sem agendamento cliente). </t>
  </si>
  <si>
    <t>Peças em teste?</t>
  </si>
  <si>
    <t xml:space="preserve">3 - Peças em teste (somente agendar ida CSE ao cliente). </t>
  </si>
  <si>
    <t>Informar peças que estão montadas no equipamento em testes.</t>
  </si>
  <si>
    <t xml:space="preserve">4 - Peças em teste (agendar ida CSE e Cliente (parada equipamento). </t>
  </si>
  <si>
    <t xml:space="preserve">5 - Não Aplicável (N/A). </t>
  </si>
  <si>
    <t>Left on notification?</t>
  </si>
  <si>
    <t>Local das peças e/ou caixas das peças em testes dentro do cliente?</t>
  </si>
  <si>
    <t>Informações adicionais para Coordenação de Atendimento:</t>
  </si>
  <si>
    <t>Informação importante para solicitação de coleta e destinação de peças posteriormente.</t>
  </si>
  <si>
    <t>Detalhes adicionais para reenvio do chamado (data, hora, CSE, agendamento junto com MP, etc.)</t>
  </si>
  <si>
    <t>Inpeções e testes realizados</t>
  </si>
  <si>
    <t xml:space="preserve">Condição do equipamento após a realização da manutenção preventiva: </t>
  </si>
  <si>
    <t xml:space="preserve">Limpeza do sistema: </t>
  </si>
  <si>
    <t xml:space="preserve">Equipamento em funcionamento. </t>
  </si>
  <si>
    <t>Inspeção de hidráulica:</t>
  </si>
  <si>
    <t xml:space="preserve">Equipamento parado. </t>
  </si>
  <si>
    <t xml:space="preserve">Inspeção de segurança: </t>
  </si>
  <si>
    <t xml:space="preserve">Equipamento em funcionamento parcial. </t>
  </si>
  <si>
    <t xml:space="preserve">Identificou algum problema durante a preventiva? </t>
  </si>
  <si>
    <t>Inspeção de segurança mecânica:</t>
  </si>
  <si>
    <t>Descreva detalhadamente quais os problemas encontrados durante o procedimento:</t>
  </si>
  <si>
    <t>Inspeção de segurança elétrica:</t>
  </si>
  <si>
    <t>Chamado finalizado.</t>
  </si>
  <si>
    <t>Qualidade da imagem:</t>
  </si>
  <si>
    <t>Chamado permanecerá aberto para acompanhamento.</t>
  </si>
  <si>
    <t>Qualidade do sistema:</t>
  </si>
  <si>
    <t>Testes finais de segurança:</t>
  </si>
  <si>
    <t>Testes finais:</t>
  </si>
  <si>
    <t>Peças consumidas no atendimento:</t>
  </si>
  <si>
    <t>Tentei obter a assinatura do cliente, mas não havia nenhum representante disponivel no momento do serviço, razão pela qual foi impossivel colher a assinatura do cliente na Ordem de serviço</t>
  </si>
  <si>
    <t>Descreva o plano de ação para corrigir os problemas identificados:</t>
  </si>
  <si>
    <t xml:space="preserve">Ok. </t>
  </si>
  <si>
    <t xml:space="preserve">Não Ok. </t>
  </si>
  <si>
    <t xml:space="preserve">N/A. </t>
  </si>
  <si>
    <t xml:space="preserve">O sistema não tem deficiências. </t>
  </si>
  <si>
    <t xml:space="preserve">O sistema tem ligeiras deficiências que não têm efeito na operação contínua do sistema. As deficiências devem ser corrigidas preventivamente. </t>
  </si>
  <si>
    <t xml:space="preserve">O sistema tem sérias deficiências. Por motivos de segurança a operação contínua do sistema é permitida apenas após a correção das deficiências. </t>
  </si>
  <si>
    <t>Script eVO MS | MA</t>
  </si>
  <si>
    <t xml:space="preserve">Descrição do problema pelo cliente: </t>
  </si>
  <si>
    <t xml:space="preserve">Problema identificado pelo CSE: </t>
  </si>
  <si>
    <t xml:space="preserve">Causa raiz do problema: </t>
  </si>
  <si>
    <t xml:space="preserve">Procedimentos realizados durante atendimento: </t>
  </si>
  <si>
    <t xml:space="preserve">Status do equipamento: </t>
  </si>
  <si>
    <t xml:space="preserve">Status do chamado: </t>
  </si>
  <si>
    <t xml:space="preserve">Peças consumidas: </t>
  </si>
  <si>
    <t xml:space="preserve">CSE que realizou atendimento: </t>
  </si>
  <si>
    <t xml:space="preserve">Classificação do chamado: </t>
  </si>
  <si>
    <t xml:space="preserve">A/S: </t>
  </si>
  <si>
    <t xml:space="preserve">ICD/PM: </t>
  </si>
  <si>
    <t>As entregas e serviços discriminados neste documento estarão consideradas devidamente entregues e prestadas, formal e tacitamente, exceto se de outra forma expressado pelo cliente, por escrito e enviado a atendimentoaclientehealthcare.br.team@siemens-healthineers.com, em até 2 dias úteis contados desta data.</t>
  </si>
  <si>
    <t>Script FollowUp</t>
  </si>
  <si>
    <t>Informações para o próximo CSE que irá continuar o atendimento.</t>
  </si>
  <si>
    <t xml:space="preserve">O problema é: </t>
  </si>
  <si>
    <t xml:space="preserve">Plano de ação para o próximo atendimento? </t>
  </si>
  <si>
    <t xml:space="preserve">Peças em teste? </t>
  </si>
  <si>
    <t xml:space="preserve">Local das peças e/ou caixas das peças em testes dentro do cliente? </t>
  </si>
  <si>
    <t xml:space="preserve">
</t>
  </si>
  <si>
    <t xml:space="preserve">Ferramentas especiais: </t>
  </si>
  <si>
    <t xml:space="preserve">Peças solicitadas para o próximo atendimento? </t>
  </si>
  <si>
    <t xml:space="preserve">Left on notification? </t>
  </si>
  <si>
    <t xml:space="preserve">Informações adicionais para Coordenação de Atendimento: </t>
  </si>
  <si>
    <t>Script eVO MP</t>
  </si>
  <si>
    <t xml:space="preserve">Condição do equipamento após a realização da Manutenção Preventiva: </t>
  </si>
  <si>
    <t xml:space="preserve">Descrição de problemas identificados: </t>
  </si>
  <si>
    <t xml:space="preserve">Plano de ação para correção de problemas identificados durante a Manutenção Preventiva: </t>
  </si>
  <si>
    <t xml:space="preserve">Inspeção de hidráulica: </t>
  </si>
  <si>
    <t xml:space="preserve">Inspeção de segurança mecânica: </t>
  </si>
  <si>
    <t xml:space="preserve">Inspeção de segurança elétrica: </t>
  </si>
  <si>
    <t xml:space="preserve">Qualidade da imagem: </t>
  </si>
  <si>
    <t xml:space="preserve">Qualidade do sistema: </t>
  </si>
  <si>
    <t xml:space="preserve">Testes finais de segurança: </t>
  </si>
  <si>
    <t xml:space="preserve">Testes finais: </t>
  </si>
  <si>
    <t xml:space="preserve">Peças consumidas no atendimento: </t>
  </si>
  <si>
    <t>Qual o problema identificado pelo CSE?</t>
  </si>
  <si>
    <r>
      <t xml:space="preserve">Tentei obter a assinatura do cliente, mas não foi possivel registrá-la por falha técnica no dispositivo móvel / falha de internet. </t>
    </r>
    <r>
      <rPr>
        <i/>
        <sz val="12"/>
        <color theme="1"/>
        <rFont val="Calibri"/>
        <family val="2"/>
        <scheme val="minor"/>
      </rPr>
      <t>Isto posto, a Ordem de Serviço foi enviada para o e-mail cadastrado tão logo o problema técnico resolvido.</t>
    </r>
  </si>
  <si>
    <t>1) O Equipamento causou ou contribuiu para a morte ou grave ferimento ao usuário, paciente ou qualquer outra pessoa ?</t>
  </si>
  <si>
    <t>2) Poderia o mau funcionamento do Equipamento causar a morte ou grave ferimento ao usuário, paciente ou qualquer outra pessoa caso ocorra novamente ?</t>
  </si>
  <si>
    <t>3) Existe algum outro Problema Potencial de Segurança (PSI) considerando o requerimentos do GD 39 ?</t>
  </si>
  <si>
    <t>Descrever detalhadamente os procedimentos executados para corrigir o problema.</t>
  </si>
  <si>
    <t>Avaliação de Segurança:</t>
  </si>
  <si>
    <t>S</t>
  </si>
  <si>
    <t>N</t>
  </si>
  <si>
    <t>ICD/PM:</t>
  </si>
  <si>
    <t xml:space="preserve">Obs assinatura OS: </t>
  </si>
  <si>
    <t>Tempo previsto para próxima visita (h)?</t>
  </si>
  <si>
    <t xml:space="preserve">Tempo previsto reenvio do chamado (dias)? </t>
  </si>
  <si>
    <t>C6 - Proativo.</t>
  </si>
  <si>
    <t>Cliente</t>
  </si>
  <si>
    <t>Nome</t>
  </si>
  <si>
    <t>E-mail</t>
  </si>
  <si>
    <t>Murilo</t>
  </si>
  <si>
    <t>Tentei obter a assinatura do cliente, mas não havia um representante disponivel no momento do serviço. Colhi a assinatura como testemunha.</t>
  </si>
  <si>
    <t>Tentei obter a assinatura do cliente, mas não havia um representante disponivel no momento do serviço. Pedi assinatura como testemunha, mas ele(a) se negou.</t>
  </si>
  <si>
    <t>sasa</t>
  </si>
  <si>
    <t>sasas</t>
  </si>
  <si>
    <t>o</t>
  </si>
  <si>
    <t>noj</t>
  </si>
  <si>
    <t>oj</t>
  </si>
  <si>
    <t>kjyhtgrferthgrW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</si>
</sst>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17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wrapText="1"/>
      <protection locked="0"/>
    </xf>
    <xf numFmtId="0" fontId="1" fillId="0" borderId="2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4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horizontal="right" wrapText="1"/>
      <protection locked="0"/>
    </xf>
    <xf numFmtId="0" fontId="1" fillId="0" borderId="2" xfId="0" applyFont="1" applyBorder="1" applyAlignment="1" applyProtection="1">
      <alignment horizontal="left" vertical="top"/>
      <protection locked="0"/>
    </xf>
    <xf numFmtId="0" fontId="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" fillId="0" borderId="2" xfId="0" applyFont="1" applyBorder="1" applyAlignment="1" applyProtection="1">
      <alignment wrapText="1"/>
      <protection locked="0"/>
    </xf>
    <xf numFmtId="0" fontId="1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6" fillId="0" borderId="1" xfId="0" applyFont="1" applyBorder="1"/>
    <xf numFmtId="0" fontId="6" fillId="0" borderId="0" xfId="0" applyFont="1" applyAlignment="1">
      <alignment vertical="top"/>
    </xf>
    <xf numFmtId="0" fontId="7" fillId="2" borderId="10" xfId="0" applyFont="1" applyFill="1" applyBorder="1"/>
    <xf numFmtId="0" fontId="7" fillId="0" borderId="0" xfId="0" applyFont="1"/>
    <xf numFmtId="0" fontId="6" fillId="0" borderId="6" xfId="0" applyFont="1" applyBorder="1"/>
    <xf numFmtId="0" fontId="9" fillId="0" borderId="0" xfId="0" applyFont="1"/>
    <xf numFmtId="0" fontId="6" fillId="0" borderId="0" xfId="0" applyFont="1" applyAlignment="1">
      <alignment horizontal="center"/>
    </xf>
    <xf numFmtId="43" fontId="6" fillId="0" borderId="1" xfId="1" applyFont="1" applyBorder="1"/>
    <xf numFmtId="43" fontId="6" fillId="0" borderId="0" xfId="1" applyFont="1"/>
    <xf numFmtId="43" fontId="7" fillId="0" borderId="0" xfId="1" applyFont="1"/>
    <xf numFmtId="0" fontId="5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4" xfId="0" applyFont="1" applyBorder="1" applyAlignment="1">
      <alignment vertical="top"/>
    </xf>
    <xf numFmtId="0" fontId="5" fillId="0" borderId="6" xfId="0" applyFont="1" applyFill="1" applyBorder="1" applyAlignment="1" applyProtection="1">
      <protection locked="0"/>
    </xf>
    <xf numFmtId="0" fontId="6" fillId="0" borderId="0" xfId="0" applyFont="1" applyBorder="1" applyAlignment="1">
      <alignment vertical="top"/>
    </xf>
    <xf numFmtId="0" fontId="5" fillId="0" borderId="0" xfId="0" applyFont="1" applyAlignment="1"/>
    <xf numFmtId="0" fontId="0" fillId="0" borderId="0" xfId="0" applyFont="1"/>
    <xf numFmtId="0" fontId="1" fillId="0" borderId="2" xfId="0" applyFont="1" applyBorder="1" applyAlignment="1" applyProtection="1">
      <alignment horizontal="left" vertical="top" wrapText="1"/>
      <protection locked="0"/>
    </xf>
    <xf numFmtId="0" fontId="5" fillId="0" borderId="6" xfId="0" applyFont="1" applyBorder="1"/>
    <xf numFmtId="0" fontId="5" fillId="0" borderId="0" xfId="0" applyFont="1" applyAlignment="1">
      <alignment horizontal="left"/>
    </xf>
    <xf numFmtId="0" fontId="1" fillId="0" borderId="2" xfId="0" applyFont="1" applyBorder="1" applyAlignment="1" applyProtection="1">
      <alignment vertical="top" wrapText="1"/>
      <protection locked="0"/>
    </xf>
    <xf numFmtId="0" fontId="11" fillId="3" borderId="0" xfId="0" applyFont="1" applyFill="1"/>
    <xf numFmtId="0" fontId="9" fillId="3" borderId="0" xfId="0" applyFont="1" applyFill="1"/>
    <xf numFmtId="0" fontId="1" fillId="0" borderId="10" xfId="0" applyFont="1" applyBorder="1" applyAlignment="1" applyProtection="1">
      <protection locked="0"/>
    </xf>
    <xf numFmtId="0" fontId="1" fillId="0" borderId="12" xfId="0" applyFont="1" applyBorder="1" applyAlignment="1" applyProtection="1">
      <protection locked="0"/>
    </xf>
    <xf numFmtId="0" fontId="1" fillId="0" borderId="11" xfId="0" applyFont="1" applyBorder="1" applyAlignment="1" applyProtection="1"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6" xfId="0" applyFont="1" applyBorder="1"/>
    <xf numFmtId="0" fontId="1" fillId="0" borderId="2" xfId="0" applyFont="1" applyBorder="1" applyAlignment="1" applyProtection="1">
      <alignment horizontal="left" vertical="top" wrapText="1"/>
      <protection locked="0"/>
    </xf>
    <xf numFmtId="0" fontId="5" fillId="0" borderId="0" xfId="0" applyFont="1" applyFill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6" fillId="2" borderId="3" xfId="0" applyFont="1" applyFill="1" applyBorder="1" applyAlignment="1" applyProtection="1">
      <alignment horizontal="left" vertical="top" wrapText="1"/>
      <protection locked="0"/>
    </xf>
    <xf numFmtId="0" fontId="6" fillId="2" borderId="4" xfId="0" applyFont="1" applyFill="1" applyBorder="1" applyAlignment="1" applyProtection="1">
      <alignment horizontal="left" vertical="top" wrapText="1"/>
      <protection locked="0"/>
    </xf>
    <xf numFmtId="0" fontId="6" fillId="2" borderId="5" xfId="0" applyFont="1" applyFill="1" applyBorder="1" applyAlignment="1" applyProtection="1">
      <alignment horizontal="left" vertical="top" wrapText="1"/>
      <protection locked="0"/>
    </xf>
    <xf numFmtId="0" fontId="6" fillId="2" borderId="6" xfId="0" applyFont="1" applyFill="1" applyBorder="1" applyAlignment="1" applyProtection="1">
      <alignment horizontal="left" vertical="top" wrapText="1"/>
      <protection locked="0"/>
    </xf>
    <xf numFmtId="0" fontId="6" fillId="2" borderId="0" xfId="0" applyFont="1" applyFill="1" applyAlignment="1" applyProtection="1">
      <alignment horizontal="left" vertical="top" wrapText="1"/>
      <protection locked="0"/>
    </xf>
    <xf numFmtId="0" fontId="6" fillId="2" borderId="1" xfId="0" applyFont="1" applyFill="1" applyBorder="1" applyAlignment="1" applyProtection="1">
      <alignment horizontal="left" vertical="top" wrapText="1"/>
      <protection locked="0"/>
    </xf>
    <xf numFmtId="0" fontId="6" fillId="2" borderId="7" xfId="0" applyFont="1" applyFill="1" applyBorder="1" applyAlignment="1" applyProtection="1">
      <alignment horizontal="left" vertical="top" wrapText="1"/>
      <protection locked="0"/>
    </xf>
    <xf numFmtId="0" fontId="6" fillId="2" borderId="8" xfId="0" applyFont="1" applyFill="1" applyBorder="1" applyAlignment="1" applyProtection="1">
      <alignment horizontal="left" vertical="top" wrapText="1"/>
      <protection locked="0"/>
    </xf>
    <xf numFmtId="0" fontId="6" fillId="2" borderId="9" xfId="0" applyFont="1" applyFill="1" applyBorder="1" applyAlignment="1" applyProtection="1">
      <alignment horizontal="left" vertical="top" wrapText="1"/>
      <protection locked="0"/>
    </xf>
    <xf numFmtId="0" fontId="5" fillId="0" borderId="0" xfId="0" applyFont="1" applyAlignment="1">
      <alignment horizontal="left"/>
    </xf>
    <xf numFmtId="49" fontId="6" fillId="2" borderId="10" xfId="0" quotePrefix="1" applyNumberFormat="1" applyFont="1" applyFill="1" applyBorder="1" applyAlignment="1" applyProtection="1">
      <alignment horizontal="center"/>
      <protection locked="0"/>
    </xf>
    <xf numFmtId="49" fontId="6" fillId="2" borderId="12" xfId="0" quotePrefix="1" applyNumberFormat="1" applyFont="1" applyFill="1" applyBorder="1" applyAlignment="1" applyProtection="1">
      <alignment horizontal="center"/>
      <protection locked="0"/>
    </xf>
    <xf numFmtId="49" fontId="6" fillId="2" borderId="11" xfId="0" quotePrefix="1" applyNumberFormat="1" applyFont="1" applyFill="1" applyBorder="1" applyAlignment="1" applyProtection="1">
      <alignment horizontal="center"/>
      <protection locked="0"/>
    </xf>
    <xf numFmtId="0" fontId="6" fillId="2" borderId="2" xfId="0" applyFont="1" applyFill="1" applyBorder="1" applyAlignment="1" applyProtection="1">
      <alignment horizontal="center" vertical="top" wrapText="1"/>
      <protection locked="0"/>
    </xf>
    <xf numFmtId="0" fontId="5" fillId="0" borderId="8" xfId="0" applyFont="1" applyBorder="1" applyAlignment="1">
      <alignment horizontal="left"/>
    </xf>
    <xf numFmtId="0" fontId="6" fillId="2" borderId="10" xfId="0" applyFont="1" applyFill="1" applyBorder="1" applyAlignment="1" applyProtection="1">
      <alignment horizontal="left"/>
      <protection locked="0"/>
    </xf>
    <xf numFmtId="0" fontId="6" fillId="2" borderId="12" xfId="0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center"/>
      <protection locked="0"/>
    </xf>
    <xf numFmtId="0" fontId="6" fillId="2" borderId="2" xfId="0" applyFont="1" applyFill="1" applyBorder="1" applyAlignment="1" applyProtection="1">
      <alignment horizontal="center"/>
      <protection locked="0"/>
    </xf>
    <xf numFmtId="1" fontId="6" fillId="2" borderId="11" xfId="0" applyNumberFormat="1" applyFont="1" applyFill="1" applyBorder="1" applyAlignment="1" applyProtection="1">
      <alignment horizontal="center"/>
      <protection locked="0"/>
    </xf>
    <xf numFmtId="1" fontId="6" fillId="2" borderId="2" xfId="0" applyNumberFormat="1" applyFont="1" applyFill="1" applyBorder="1" applyAlignment="1" applyProtection="1">
      <alignment horizontal="center"/>
      <protection locked="0"/>
    </xf>
    <xf numFmtId="0" fontId="6" fillId="4" borderId="2" xfId="0" applyFont="1" applyFill="1" applyBorder="1" applyAlignment="1" applyProtection="1">
      <alignment horizontal="center" vertical="top" wrapText="1"/>
      <protection locked="0"/>
    </xf>
    <xf numFmtId="0" fontId="5" fillId="0" borderId="12" xfId="0" applyFont="1" applyBorder="1" applyAlignment="1">
      <alignment horizontal="center"/>
    </xf>
    <xf numFmtId="0" fontId="5" fillId="2" borderId="2" xfId="0" applyFont="1" applyFill="1" applyBorder="1" applyAlignment="1" applyProtection="1">
      <alignment horizontal="center" vertic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6" fillId="2" borderId="10" xfId="0" applyFont="1" applyFill="1" applyBorder="1" applyAlignment="1" applyProtection="1">
      <alignment horizontal="center"/>
      <protection locked="0"/>
    </xf>
    <xf numFmtId="0" fontId="6" fillId="2" borderId="12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5" fillId="0" borderId="0" xfId="0" applyFont="1" applyAlignment="1">
      <alignment horizontal="center"/>
    </xf>
    <xf numFmtId="0" fontId="12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Font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5" fillId="2" borderId="10" xfId="0" applyFont="1" applyFill="1" applyBorder="1" applyAlignment="1" applyProtection="1">
      <alignment horizontal="center"/>
      <protection locked="0"/>
    </xf>
    <xf numFmtId="0" fontId="5" fillId="2" borderId="12" xfId="0" applyFont="1" applyFill="1" applyBorder="1" applyAlignment="1" applyProtection="1">
      <alignment horizontal="center"/>
      <protection locked="0"/>
    </xf>
    <xf numFmtId="0" fontId="5" fillId="2" borderId="11" xfId="0" applyFont="1" applyFill="1" applyBorder="1" applyAlignment="1" applyProtection="1">
      <alignment horizontal="center"/>
      <protection locked="0"/>
    </xf>
    <xf numFmtId="0" fontId="6" fillId="2" borderId="3" xfId="0" applyFont="1" applyFill="1" applyBorder="1" applyAlignment="1" applyProtection="1">
      <alignment vertical="top" wrapText="1"/>
      <protection locked="0"/>
    </xf>
    <xf numFmtId="0" fontId="6" fillId="2" borderId="4" xfId="0" applyFont="1" applyFill="1" applyBorder="1" applyAlignment="1" applyProtection="1">
      <alignment vertical="top" wrapText="1"/>
      <protection locked="0"/>
    </xf>
    <xf numFmtId="0" fontId="6" fillId="2" borderId="5" xfId="0" applyFont="1" applyFill="1" applyBorder="1" applyAlignment="1" applyProtection="1">
      <alignment vertical="top" wrapText="1"/>
      <protection locked="0"/>
    </xf>
    <xf numFmtId="0" fontId="6" fillId="2" borderId="6" xfId="0" applyFont="1" applyFill="1" applyBorder="1" applyAlignment="1" applyProtection="1">
      <alignment vertical="top" wrapText="1"/>
      <protection locked="0"/>
    </xf>
    <xf numFmtId="0" fontId="6" fillId="2" borderId="0" xfId="0" applyFont="1" applyFill="1" applyAlignment="1" applyProtection="1">
      <alignment vertical="top" wrapText="1"/>
      <protection locked="0"/>
    </xf>
    <xf numFmtId="0" fontId="6" fillId="2" borderId="1" xfId="0" applyFont="1" applyFill="1" applyBorder="1" applyAlignment="1" applyProtection="1">
      <alignment vertical="top" wrapText="1"/>
      <protection locked="0"/>
    </xf>
    <xf numFmtId="0" fontId="6" fillId="2" borderId="7" xfId="0" applyFont="1" applyFill="1" applyBorder="1" applyAlignment="1" applyProtection="1">
      <alignment vertical="top" wrapText="1"/>
      <protection locked="0"/>
    </xf>
    <xf numFmtId="0" fontId="6" fillId="2" borderId="8" xfId="0" applyFont="1" applyFill="1" applyBorder="1" applyAlignment="1" applyProtection="1">
      <alignment vertical="top" wrapText="1"/>
      <protection locked="0"/>
    </xf>
    <xf numFmtId="0" fontId="6" fillId="2" borderId="9" xfId="0" applyFont="1" applyFill="1" applyBorder="1" applyAlignment="1" applyProtection="1">
      <alignment vertical="top" wrapText="1"/>
      <protection locked="0"/>
    </xf>
    <xf numFmtId="0" fontId="5" fillId="0" borderId="8" xfId="0" applyFont="1" applyBorder="1" applyAlignment="1">
      <alignment horizontal="center"/>
    </xf>
    <xf numFmtId="0" fontId="6" fillId="2" borderId="11" xfId="0" applyFont="1" applyFill="1" applyBorder="1" applyAlignment="1" applyProtection="1">
      <alignment horizontal="left"/>
      <protection locked="0"/>
    </xf>
    <xf numFmtId="0" fontId="6" fillId="2" borderId="7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left"/>
      <protection locked="0"/>
    </xf>
    <xf numFmtId="0" fontId="6" fillId="2" borderId="9" xfId="0" applyFont="1" applyFill="1" applyBorder="1" applyAlignment="1" applyProtection="1">
      <alignment horizontal="left"/>
      <protection locked="0"/>
    </xf>
    <xf numFmtId="0" fontId="10" fillId="2" borderId="2" xfId="0" applyFont="1" applyFill="1" applyBorder="1" applyAlignment="1" applyProtection="1">
      <alignment horizontal="center"/>
      <protection locked="0"/>
    </xf>
    <xf numFmtId="0" fontId="6" fillId="2" borderId="10" xfId="0" applyFont="1" applyFill="1" applyBorder="1" applyAlignment="1" applyProtection="1">
      <alignment horizontal="center" wrapText="1"/>
      <protection locked="0"/>
    </xf>
    <xf numFmtId="0" fontId="6" fillId="2" borderId="12" xfId="0" applyFont="1" applyFill="1" applyBorder="1" applyAlignment="1" applyProtection="1">
      <alignment horizontal="center" wrapText="1"/>
      <protection locked="0"/>
    </xf>
    <xf numFmtId="0" fontId="6" fillId="2" borderId="11" xfId="0" applyFont="1" applyFill="1" applyBorder="1" applyAlignment="1" applyProtection="1">
      <alignment horizontal="center" wrapText="1"/>
      <protection locked="0"/>
    </xf>
    <xf numFmtId="0" fontId="6" fillId="0" borderId="0" xfId="0" applyFont="1" applyAlignment="1">
      <alignment horizontal="center"/>
    </xf>
    <xf numFmtId="0" fontId="6" fillId="2" borderId="2" xfId="0" applyFont="1" applyFill="1" applyBorder="1" applyAlignment="1" applyProtection="1">
      <alignment horizontal="left" vertical="top" wrapText="1"/>
      <protection locked="0"/>
    </xf>
    <xf numFmtId="0" fontId="1" fillId="0" borderId="2" xfId="0" applyFont="1" applyBorder="1" applyAlignment="1" applyProtection="1">
      <alignment horizontal="left" vertical="top" wrapText="1"/>
      <protection locked="0"/>
    </xf>
    <xf numFmtId="0" fontId="1" fillId="0" borderId="10" xfId="0" applyFont="1" applyBorder="1" applyAlignment="1" applyProtection="1">
      <alignment horizontal="left" vertical="top" wrapText="1"/>
      <protection locked="0"/>
    </xf>
    <xf numFmtId="0" fontId="1" fillId="0" borderId="12" xfId="0" applyFont="1" applyBorder="1" applyAlignment="1" applyProtection="1">
      <alignment horizontal="left" vertical="top" wrapText="1"/>
      <protection locked="0"/>
    </xf>
    <xf numFmtId="0" fontId="1" fillId="0" borderId="11" xfId="0" applyFont="1" applyBorder="1" applyAlignment="1" applyProtection="1">
      <alignment horizontal="left" vertical="top" wrapText="1"/>
      <protection locked="0"/>
    </xf>
    <xf numFmtId="0" fontId="1" fillId="0" borderId="2" xfId="0" applyFont="1" applyBorder="1" applyAlignment="1" applyProtection="1">
      <alignment horizontal="left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1" fillId="0" borderId="10" xfId="0" applyFont="1" applyBorder="1" applyAlignment="1" applyProtection="1">
      <alignment horizontal="center" wrapText="1"/>
      <protection locked="0"/>
    </xf>
    <xf numFmtId="0" fontId="1" fillId="0" borderId="12" xfId="0" applyFont="1" applyBorder="1" applyAlignment="1" applyProtection="1">
      <alignment horizontal="center" wrapText="1"/>
      <protection locked="0"/>
    </xf>
    <xf numFmtId="0" fontId="1" fillId="0" borderId="11" xfId="0" applyFont="1" applyBorder="1" applyAlignment="1" applyProtection="1">
      <alignment horizontal="center" wrapText="1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right" wrapText="1"/>
      <protection locked="0"/>
    </xf>
  </cellXfs>
  <cellStyles count="2">
    <cellStyle name="Normal" xfId="0" builtinId="0"/>
    <cellStyle name="Vírgula" xfId="1" builtinId="3"/>
  </cellStyles>
  <dxfs count="20"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00CC00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>
          <bgColor rgb="FFFF9933"/>
        </patternFill>
      </fill>
    </dxf>
    <dxf>
      <font>
        <b/>
        <i val="0"/>
        <color theme="0"/>
      </font>
      <fill>
        <patternFill patternType="solid">
          <bgColor rgb="FF00CC00"/>
        </patternFill>
      </fill>
    </dxf>
    <dxf>
      <font>
        <b/>
        <i val="0"/>
        <color theme="0"/>
      </font>
      <fill>
        <patternFill patternType="solid">
          <bgColor rgb="FFC00000"/>
        </patternFill>
      </fill>
    </dxf>
    <dxf>
      <font>
        <b/>
        <i val="0"/>
        <color theme="0"/>
      </font>
      <fill>
        <patternFill patternType="solid">
          <bgColor rgb="FFFF9933"/>
        </patternFill>
      </fill>
    </dxf>
  </dxfs>
  <tableStyles count="0" defaultTableStyle="TableStyleMedium2" defaultPivotStyle="PivotStyleLight16"/>
  <colors>
    <mruColors>
      <color rgb="FF00CC00"/>
      <color rgb="FFFF9933"/>
      <color rgb="FFFF3300"/>
      <color rgb="FF99FF99"/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285745</xdr:rowOff>
    </xdr:from>
    <xdr:to>
      <xdr:col>1</xdr:col>
      <xdr:colOff>33621</xdr:colOff>
      <xdr:row>15</xdr:row>
      <xdr:rowOff>3921</xdr:rowOff>
    </xdr:to>
    <xdr:sp macro="[0]!enviar_email" textlink="">
      <xdr:nvSpPr>
        <xdr:cNvPr id="2" name="TextBox 1">
          <a:extLst>
            <a:ext uri="{FF2B5EF4-FFF2-40B4-BE49-F238E27FC236}">
              <a16:creationId xmlns:a16="http://schemas.microsoft.com/office/drawing/2014/main" id="{4667B0EA-3A45-8335-35C9-F159C3519D44}"/>
            </a:ext>
          </a:extLst>
        </xdr:cNvPr>
        <xdr:cNvSpPr txBox="1"/>
      </xdr:nvSpPr>
      <xdr:spPr>
        <a:xfrm rot="16200000">
          <a:off x="-1366278" y="2526082"/>
          <a:ext cx="3214411" cy="481856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COPIAR</a:t>
          </a:r>
        </a:p>
      </xdr:txBody>
    </xdr:sp>
    <xdr:clientData/>
  </xdr:twoCellAnchor>
  <xdr:twoCellAnchor>
    <xdr:from>
      <xdr:col>0</xdr:col>
      <xdr:colOff>1</xdr:colOff>
      <xdr:row>18</xdr:row>
      <xdr:rowOff>285749</xdr:rowOff>
    </xdr:from>
    <xdr:to>
      <xdr:col>1</xdr:col>
      <xdr:colOff>33618</xdr:colOff>
      <xdr:row>29</xdr:row>
      <xdr:rowOff>11205</xdr:rowOff>
    </xdr:to>
    <xdr:sp macro="[0]!APAGAR" textlink="">
      <xdr:nvSpPr>
        <xdr:cNvPr id="5" name="TextBox 4">
          <a:extLst>
            <a:ext uri="{FF2B5EF4-FFF2-40B4-BE49-F238E27FC236}">
              <a16:creationId xmlns:a16="http://schemas.microsoft.com/office/drawing/2014/main" id="{B1896EB5-D10C-4B5B-A41E-CA26FEE572EF}"/>
            </a:ext>
          </a:extLst>
        </xdr:cNvPr>
        <xdr:cNvSpPr txBox="1"/>
      </xdr:nvSpPr>
      <xdr:spPr>
        <a:xfrm rot="16200000">
          <a:off x="-1235448" y="6765551"/>
          <a:ext cx="2952750" cy="481852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APAGAR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</xdr:colOff>
      <xdr:row>7</xdr:row>
      <xdr:rowOff>235321</xdr:rowOff>
    </xdr:from>
    <xdr:to>
      <xdr:col>1</xdr:col>
      <xdr:colOff>67239</xdr:colOff>
      <xdr:row>15</xdr:row>
      <xdr:rowOff>3</xdr:rowOff>
    </xdr:to>
    <xdr:sp macro="[0]!RECORTARFOLLOWUP" textlink="">
      <xdr:nvSpPr>
        <xdr:cNvPr id="4" name="TextBox 3">
          <a:extLst>
            <a:ext uri="{FF2B5EF4-FFF2-40B4-BE49-F238E27FC236}">
              <a16:creationId xmlns:a16="http://schemas.microsoft.com/office/drawing/2014/main" id="{CC6B1175-B6BF-E442-FE5A-7519261E0030}"/>
            </a:ext>
          </a:extLst>
        </xdr:cNvPr>
        <xdr:cNvSpPr txBox="1"/>
      </xdr:nvSpPr>
      <xdr:spPr>
        <a:xfrm rot="16200000">
          <a:off x="-790014" y="3064809"/>
          <a:ext cx="2095505" cy="515471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COPIAR</a:t>
          </a:r>
        </a:p>
      </xdr:txBody>
    </xdr:sp>
    <xdr:clientData/>
  </xdr:twoCellAnchor>
  <xdr:twoCellAnchor>
    <xdr:from>
      <xdr:col>0</xdr:col>
      <xdr:colOff>2</xdr:colOff>
      <xdr:row>17</xdr:row>
      <xdr:rowOff>268940</xdr:rowOff>
    </xdr:from>
    <xdr:to>
      <xdr:col>1</xdr:col>
      <xdr:colOff>67238</xdr:colOff>
      <xdr:row>29</xdr:row>
      <xdr:rowOff>11207</xdr:rowOff>
    </xdr:to>
    <xdr:sp macro="[0]!APAGARFOLLOWUP" textlink="">
      <xdr:nvSpPr>
        <xdr:cNvPr id="5" name="TextBox 4">
          <a:extLst>
            <a:ext uri="{FF2B5EF4-FFF2-40B4-BE49-F238E27FC236}">
              <a16:creationId xmlns:a16="http://schemas.microsoft.com/office/drawing/2014/main" id="{404A23A3-06D0-4CFB-9781-2EB0FDE66065}"/>
            </a:ext>
          </a:extLst>
        </xdr:cNvPr>
        <xdr:cNvSpPr txBox="1"/>
      </xdr:nvSpPr>
      <xdr:spPr>
        <a:xfrm rot="16200000">
          <a:off x="-1372719" y="6594661"/>
          <a:ext cx="3260914" cy="515471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APAGAR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5602</xdr:rowOff>
    </xdr:from>
    <xdr:to>
      <xdr:col>1</xdr:col>
      <xdr:colOff>67236</xdr:colOff>
      <xdr:row>17</xdr:row>
      <xdr:rowOff>22411</xdr:rowOff>
    </xdr:to>
    <xdr:sp macro="[0]!RECORTARMP" textlink="">
      <xdr:nvSpPr>
        <xdr:cNvPr id="6" name="TextBox 5">
          <a:extLst>
            <a:ext uri="{FF2B5EF4-FFF2-40B4-BE49-F238E27FC236}">
              <a16:creationId xmlns:a16="http://schemas.microsoft.com/office/drawing/2014/main" id="{6517EA43-09B8-0C75-9AB5-11742133D932}"/>
            </a:ext>
          </a:extLst>
        </xdr:cNvPr>
        <xdr:cNvSpPr txBox="1"/>
      </xdr:nvSpPr>
      <xdr:spPr>
        <a:xfrm rot="16200000">
          <a:off x="-1061757" y="3398183"/>
          <a:ext cx="2638985" cy="515471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COPIAR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281266</xdr:rowOff>
    </xdr:from>
    <xdr:to>
      <xdr:col>1</xdr:col>
      <xdr:colOff>67236</xdr:colOff>
      <xdr:row>29</xdr:row>
      <xdr:rowOff>11205</xdr:rowOff>
    </xdr:to>
    <xdr:sp macro="[0]!APAGARMP" textlink="">
      <xdr:nvSpPr>
        <xdr:cNvPr id="7" name="TextBox 6">
          <a:extLst>
            <a:ext uri="{FF2B5EF4-FFF2-40B4-BE49-F238E27FC236}">
              <a16:creationId xmlns:a16="http://schemas.microsoft.com/office/drawing/2014/main" id="{A1B8428B-4A1F-47C2-AC91-2B46C1FD5F2D}"/>
            </a:ext>
          </a:extLst>
        </xdr:cNvPr>
        <xdr:cNvSpPr txBox="1"/>
      </xdr:nvSpPr>
      <xdr:spPr>
        <a:xfrm rot="16200000">
          <a:off x="-1220881" y="6746500"/>
          <a:ext cx="2957233" cy="515471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APAGAR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9B6-A052-46DE-9A7D-B4D3E1D04208}">
  <sheetPr codeName="Sheet1"/>
  <dimension ref="A1:CO36"/>
  <sheetViews>
    <sheetView showGridLines="0" tabSelected="1" zoomScaleNormal="100" workbookViewId="0">
      <selection activeCell="C5" sqref="C5:AC7"/>
    </sheetView>
  </sheetViews>
  <sheetFormatPr defaultColWidth="3.44140625" defaultRowHeight="13.8" customHeight="1" x14ac:dyDescent="0.3"/>
  <cols>
    <col min="1" max="1" width="3.44140625" style="13"/>
    <col min="2" max="2" width="3.44140625" style="13" customWidth="1"/>
    <col min="3" max="29" width="2.21875" style="13" customWidth="1"/>
    <col min="30" max="30" width="2.21875" style="14" customWidth="1"/>
    <col min="31" max="49" width="2.21875" style="13" customWidth="1"/>
    <col min="50" max="50" width="0.77734375" style="13" customWidth="1"/>
    <col min="51" max="54" width="2.77734375" style="13" customWidth="1"/>
    <col min="55" max="55" width="0.77734375" style="13" customWidth="1"/>
    <col min="56" max="59" width="2.77734375" style="13" customWidth="1"/>
    <col min="60" max="60" width="2.21875" style="13" customWidth="1"/>
    <col min="61" max="61" width="2.21875" style="18" customWidth="1"/>
    <col min="62" max="90" width="2.21875" style="13" customWidth="1"/>
    <col min="91" max="91" width="2.21875" style="36" customWidth="1"/>
    <col min="92" max="92" width="3.44140625" style="13"/>
    <col min="93" max="93" width="221.5546875" style="13" hidden="1" customWidth="1"/>
    <col min="94" max="16384" width="3.44140625" style="13"/>
  </cols>
  <sheetData>
    <row r="1" spans="1:93" ht="13.8" customHeight="1" x14ac:dyDescent="0.3">
      <c r="A1" s="12"/>
      <c r="C1" s="12"/>
      <c r="E1" s="12"/>
      <c r="G1" s="12"/>
      <c r="I1" s="12"/>
      <c r="K1" s="12"/>
      <c r="M1" s="12"/>
      <c r="O1" s="12"/>
      <c r="Q1" s="12"/>
      <c r="S1" s="12"/>
      <c r="U1" s="12"/>
      <c r="W1" s="12"/>
      <c r="Y1" s="12"/>
      <c r="AA1" s="12"/>
      <c r="AC1" s="12"/>
      <c r="AD1" s="13"/>
      <c r="AE1" s="32"/>
      <c r="AG1" s="12"/>
      <c r="AI1" s="12"/>
      <c r="AK1" s="12"/>
      <c r="AM1" s="12"/>
      <c r="AO1" s="12"/>
      <c r="AQ1" s="12"/>
      <c r="AS1" s="12"/>
      <c r="AU1" s="12"/>
      <c r="AW1" s="12"/>
      <c r="AY1" s="12"/>
      <c r="BA1" s="12"/>
      <c r="BC1" s="12"/>
      <c r="BE1" s="12"/>
      <c r="BG1" s="12"/>
      <c r="BI1" s="32"/>
      <c r="BL1" s="12"/>
      <c r="BN1" s="12"/>
      <c r="BP1" s="12"/>
      <c r="BS1" s="12"/>
      <c r="BV1" s="12"/>
      <c r="BY1" s="12"/>
      <c r="CB1" s="12"/>
      <c r="CE1" s="12"/>
      <c r="CG1" s="12"/>
      <c r="CI1" s="12"/>
      <c r="CK1" s="12"/>
      <c r="CM1" s="35"/>
    </row>
    <row r="2" spans="1:93" ht="13.8" customHeight="1" x14ac:dyDescent="0.3">
      <c r="C2" s="12" t="s">
        <v>0</v>
      </c>
      <c r="E2" s="73" t="s">
        <v>162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65"/>
      <c r="AF2" s="12" t="s">
        <v>1</v>
      </c>
      <c r="AM2" s="25"/>
      <c r="AN2" s="25"/>
      <c r="AO2" s="25"/>
      <c r="AP2" s="25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40"/>
      <c r="BJ2" s="29" t="s">
        <v>143</v>
      </c>
      <c r="BK2" s="29"/>
      <c r="BL2" s="29"/>
      <c r="BM2" s="29"/>
      <c r="BN2" s="29"/>
      <c r="BO2" s="29"/>
      <c r="BP2" s="29"/>
      <c r="BQ2" s="29"/>
      <c r="BR2" s="15"/>
      <c r="BS2" s="15"/>
      <c r="BT2" s="15"/>
      <c r="BU2" s="15"/>
      <c r="BX2" s="33" t="s">
        <v>146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</row>
    <row r="3" spans="1:93" ht="13.8" customHeight="1" x14ac:dyDescent="0.3">
      <c r="C3" s="12" t="s">
        <v>2</v>
      </c>
      <c r="AF3" s="30" t="s">
        <v>3</v>
      </c>
      <c r="BH3" s="40"/>
      <c r="BJ3" s="75" t="s">
        <v>139</v>
      </c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O3" s="13" t="s">
        <v>4</v>
      </c>
    </row>
    <row r="4" spans="1:93" ht="13.8" customHeight="1" x14ac:dyDescent="0.3">
      <c r="C4" s="30" t="s">
        <v>5</v>
      </c>
      <c r="AF4" s="48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50"/>
      <c r="BH4" s="40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O4" s="13" t="s">
        <v>6</v>
      </c>
    </row>
    <row r="5" spans="1:93" ht="13.8" customHeight="1" x14ac:dyDescent="0.3">
      <c r="C5" s="48" t="s">
        <v>157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50"/>
      <c r="AF5" s="54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6"/>
      <c r="BH5" s="40"/>
      <c r="BJ5" s="76"/>
      <c r="BK5" s="76"/>
      <c r="BL5" s="76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76"/>
      <c r="CL5" s="76"/>
      <c r="CO5" s="13" t="s">
        <v>7</v>
      </c>
    </row>
    <row r="6" spans="1:93" ht="13.8" customHeight="1" x14ac:dyDescent="0.3">
      <c r="C6" s="51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3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28"/>
      <c r="BA6" s="15"/>
      <c r="BB6" s="15"/>
      <c r="BC6" s="15"/>
      <c r="BH6" s="40"/>
      <c r="BJ6" s="69"/>
      <c r="BK6" s="69"/>
      <c r="BL6" s="69"/>
      <c r="BM6" s="69"/>
      <c r="BN6" s="69"/>
      <c r="BO6" s="69"/>
      <c r="BP6" s="69"/>
      <c r="BQ6" s="69"/>
      <c r="BR6" s="69"/>
      <c r="BS6" s="69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36" t="s">
        <v>23</v>
      </c>
    </row>
    <row r="7" spans="1:93" ht="13.8" customHeight="1" x14ac:dyDescent="0.3">
      <c r="C7" s="54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6"/>
      <c r="AF7" s="12" t="s">
        <v>8</v>
      </c>
      <c r="AM7" s="24"/>
      <c r="AN7" s="24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40"/>
      <c r="BJ7" s="76" t="s">
        <v>140</v>
      </c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O7" s="13" t="s">
        <v>9</v>
      </c>
    </row>
    <row r="8" spans="1:93" ht="13.8" customHeight="1" x14ac:dyDescent="0.3">
      <c r="C8" s="30" t="s">
        <v>137</v>
      </c>
      <c r="AC8" s="13" t="s">
        <v>10</v>
      </c>
      <c r="AF8" s="30" t="s">
        <v>11</v>
      </c>
      <c r="BH8" s="40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O8" s="13" t="s">
        <v>12</v>
      </c>
    </row>
    <row r="9" spans="1:93" ht="13.8" customHeight="1" x14ac:dyDescent="0.3">
      <c r="C9" s="48" t="s">
        <v>158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50"/>
      <c r="AF9" s="48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50"/>
      <c r="BH9" s="40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O9" s="13" t="s">
        <v>13</v>
      </c>
    </row>
    <row r="10" spans="1:93" ht="13.8" customHeight="1" x14ac:dyDescent="0.3">
      <c r="C10" s="51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3"/>
      <c r="AF10" s="54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6"/>
      <c r="BH10" s="40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</row>
    <row r="11" spans="1:93" ht="13.8" customHeight="1" x14ac:dyDescent="0.3">
      <c r="C11" s="54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6"/>
      <c r="AF11" s="15"/>
      <c r="AG11" s="15"/>
      <c r="AH11" s="15"/>
      <c r="AI11" s="15"/>
      <c r="AJ11" s="15"/>
      <c r="AK11" s="15"/>
      <c r="AL11" s="15"/>
      <c r="AM11" s="26"/>
      <c r="AN11" s="26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H11" s="40"/>
      <c r="BJ11" s="69"/>
      <c r="BK11" s="69"/>
      <c r="BL11" s="69"/>
      <c r="BM11" s="69"/>
      <c r="BN11" s="69"/>
      <c r="BO11" s="69"/>
      <c r="BP11" s="69"/>
      <c r="BQ11" s="69"/>
      <c r="BR11" s="69"/>
      <c r="BS11" s="69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36" t="s">
        <v>23</v>
      </c>
      <c r="CO11" s="13" t="s">
        <v>14</v>
      </c>
    </row>
    <row r="12" spans="1:93" ht="13.8" customHeight="1" x14ac:dyDescent="0.3">
      <c r="C12" s="30" t="s">
        <v>15</v>
      </c>
      <c r="AC12" s="13" t="s">
        <v>10</v>
      </c>
      <c r="AF12" s="12" t="s">
        <v>16</v>
      </c>
      <c r="AM12" s="27"/>
      <c r="AN12" s="44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40"/>
      <c r="BJ12" s="76" t="s">
        <v>141</v>
      </c>
      <c r="BK12" s="76"/>
      <c r="BL12" s="76"/>
      <c r="BM12" s="76"/>
      <c r="BN12" s="76"/>
      <c r="BO12" s="76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O12" s="13" t="s">
        <v>17</v>
      </c>
    </row>
    <row r="13" spans="1:93" ht="13.8" customHeight="1" x14ac:dyDescent="0.3">
      <c r="C13" s="48" t="s">
        <v>159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50"/>
      <c r="AF13" s="77" t="s">
        <v>18</v>
      </c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12"/>
      <c r="AW13" s="12"/>
      <c r="AX13" s="70" t="s">
        <v>19</v>
      </c>
      <c r="AY13" s="70"/>
      <c r="AZ13" s="70"/>
      <c r="BA13" s="70"/>
      <c r="BB13" s="70"/>
      <c r="BC13" s="70" t="s">
        <v>20</v>
      </c>
      <c r="BD13" s="70"/>
      <c r="BE13" s="70"/>
      <c r="BF13" s="70"/>
      <c r="BG13" s="70"/>
      <c r="BH13" s="40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</row>
    <row r="14" spans="1:93" ht="13.8" customHeight="1" x14ac:dyDescent="0.3">
      <c r="C14" s="51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F14" s="63" t="s">
        <v>160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16" t="s">
        <v>21</v>
      </c>
      <c r="AY14" s="65" t="s">
        <v>161</v>
      </c>
      <c r="AZ14" s="66"/>
      <c r="BA14" s="66"/>
      <c r="BB14" s="66"/>
      <c r="BC14" s="16" t="s">
        <v>22</v>
      </c>
      <c r="BD14" s="67" t="s">
        <v>159</v>
      </c>
      <c r="BE14" s="68"/>
      <c r="BF14" s="68"/>
      <c r="BG14" s="68"/>
      <c r="BH14" s="41" t="s">
        <v>23</v>
      </c>
      <c r="BI14" s="42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  <c r="CE14" s="76"/>
      <c r="CF14" s="76"/>
      <c r="CG14" s="76"/>
      <c r="CH14" s="76"/>
      <c r="CI14" s="76"/>
      <c r="CJ14" s="76"/>
      <c r="CK14" s="76"/>
      <c r="CL14" s="76"/>
      <c r="CO14" s="13" t="s">
        <v>155</v>
      </c>
    </row>
    <row r="15" spans="1:93" ht="13.8" customHeight="1" x14ac:dyDescent="0.3">
      <c r="C15" s="54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6"/>
      <c r="AF15" s="63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16" t="s">
        <v>21</v>
      </c>
      <c r="AY15" s="65"/>
      <c r="AZ15" s="66"/>
      <c r="BA15" s="66"/>
      <c r="BB15" s="66"/>
      <c r="BC15" s="16" t="s">
        <v>22</v>
      </c>
      <c r="BD15" s="65"/>
      <c r="BE15" s="66"/>
      <c r="BF15" s="66"/>
      <c r="BG15" s="66"/>
      <c r="BH15" s="41" t="s">
        <v>23</v>
      </c>
      <c r="BI15" s="42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36" t="s">
        <v>23</v>
      </c>
      <c r="CO15" s="13" t="s">
        <v>156</v>
      </c>
    </row>
    <row r="16" spans="1:93" ht="13.8" customHeight="1" x14ac:dyDescent="0.3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F16" s="63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16" t="s">
        <v>21</v>
      </c>
      <c r="AY16" s="65"/>
      <c r="AZ16" s="66"/>
      <c r="BA16" s="66"/>
      <c r="BB16" s="66"/>
      <c r="BC16" s="16" t="s">
        <v>22</v>
      </c>
      <c r="BD16" s="65"/>
      <c r="BE16" s="66"/>
      <c r="BF16" s="66"/>
      <c r="BG16" s="66"/>
      <c r="BH16" s="41" t="s">
        <v>23</v>
      </c>
      <c r="BI16" s="42"/>
      <c r="CO16" s="13" t="s">
        <v>24</v>
      </c>
    </row>
    <row r="17" spans="3:93" ht="13.8" customHeight="1" x14ac:dyDescent="0.3">
      <c r="C17" s="12" t="s">
        <v>25</v>
      </c>
      <c r="AF17" s="63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16" t="s">
        <v>21</v>
      </c>
      <c r="AY17" s="65"/>
      <c r="AZ17" s="66"/>
      <c r="BA17" s="66"/>
      <c r="BB17" s="66"/>
      <c r="BC17" s="16" t="s">
        <v>22</v>
      </c>
      <c r="BD17" s="65"/>
      <c r="BE17" s="66"/>
      <c r="BF17" s="66"/>
      <c r="BG17" s="66"/>
      <c r="BH17" s="41" t="s">
        <v>23</v>
      </c>
      <c r="BI17" s="42"/>
      <c r="BJ17" s="62" t="s">
        <v>32</v>
      </c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2"/>
      <c r="CB17" s="62"/>
      <c r="CC17" s="62"/>
      <c r="CD17" s="62"/>
      <c r="CE17" s="62"/>
      <c r="CF17" s="62"/>
      <c r="CG17" s="62"/>
      <c r="CH17" s="62"/>
      <c r="CI17" s="62"/>
      <c r="CJ17" s="62"/>
      <c r="CK17" s="62"/>
      <c r="CL17" s="62"/>
      <c r="CO17" s="13" t="s">
        <v>138</v>
      </c>
    </row>
    <row r="18" spans="3:93" ht="13.8" customHeight="1" x14ac:dyDescent="0.3">
      <c r="C18" s="79" t="s">
        <v>142</v>
      </c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F18" s="63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16" t="s">
        <v>21</v>
      </c>
      <c r="AY18" s="65"/>
      <c r="AZ18" s="66"/>
      <c r="BA18" s="66"/>
      <c r="BB18" s="66"/>
      <c r="BC18" s="16" t="s">
        <v>22</v>
      </c>
      <c r="BD18" s="65"/>
      <c r="BE18" s="66"/>
      <c r="BF18" s="66"/>
      <c r="BG18" s="66"/>
      <c r="BH18" s="41" t="s">
        <v>23</v>
      </c>
      <c r="BI18" s="42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  <c r="CH18" s="66"/>
      <c r="CI18" s="66"/>
      <c r="CJ18" s="66"/>
      <c r="CK18" s="66"/>
      <c r="CL18" s="66"/>
    </row>
    <row r="19" spans="3:93" ht="13.8" customHeight="1" x14ac:dyDescent="0.3"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F19" s="63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16" t="s">
        <v>21</v>
      </c>
      <c r="AY19" s="65"/>
      <c r="AZ19" s="66"/>
      <c r="BA19" s="66"/>
      <c r="BB19" s="66"/>
      <c r="BC19" s="16" t="s">
        <v>22</v>
      </c>
      <c r="BD19" s="67"/>
      <c r="BE19" s="68"/>
      <c r="BF19" s="68"/>
      <c r="BG19" s="68"/>
      <c r="BH19" s="41" t="s">
        <v>23</v>
      </c>
      <c r="BI19" s="42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O19" s="13" t="s">
        <v>26</v>
      </c>
    </row>
    <row r="20" spans="3:93" ht="13.8" customHeight="1" x14ac:dyDescent="0.3">
      <c r="C20" s="48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50"/>
      <c r="AF20" s="63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16" t="s">
        <v>21</v>
      </c>
      <c r="AY20" s="65"/>
      <c r="AZ20" s="66"/>
      <c r="BA20" s="66"/>
      <c r="BB20" s="66"/>
      <c r="BC20" s="16" t="s">
        <v>22</v>
      </c>
      <c r="BD20" s="67"/>
      <c r="BE20" s="68"/>
      <c r="BF20" s="68"/>
      <c r="BG20" s="68"/>
      <c r="BH20" s="41" t="s">
        <v>23</v>
      </c>
      <c r="BI20" s="42"/>
      <c r="BJ20" s="62" t="s">
        <v>34</v>
      </c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2"/>
      <c r="CB20" s="62"/>
      <c r="CC20" s="62"/>
      <c r="CD20" s="62"/>
      <c r="CE20" s="62"/>
      <c r="CF20" s="62"/>
      <c r="CG20" s="62"/>
      <c r="CH20" s="62"/>
      <c r="CI20" s="62"/>
      <c r="CJ20" s="62"/>
      <c r="CK20" s="62"/>
      <c r="CL20" s="62"/>
      <c r="CO20" s="13" t="s">
        <v>27</v>
      </c>
    </row>
    <row r="21" spans="3:93" ht="13.8" customHeight="1" x14ac:dyDescent="0.3">
      <c r="C21" s="51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3"/>
      <c r="AF21" s="63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16" t="s">
        <v>21</v>
      </c>
      <c r="AY21" s="65"/>
      <c r="AZ21" s="66"/>
      <c r="BA21" s="66"/>
      <c r="BB21" s="66"/>
      <c r="BC21" s="16" t="s">
        <v>22</v>
      </c>
      <c r="BD21" s="67"/>
      <c r="BE21" s="68"/>
      <c r="BF21" s="68"/>
      <c r="BG21" s="68"/>
      <c r="BH21" s="41" t="s">
        <v>23</v>
      </c>
      <c r="BJ21" s="58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60"/>
      <c r="CO21" s="13" t="s">
        <v>29</v>
      </c>
    </row>
    <row r="22" spans="3:93" ht="13.8" customHeight="1" x14ac:dyDescent="0.3">
      <c r="C22" s="51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3"/>
      <c r="AF22" s="63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16" t="s">
        <v>21</v>
      </c>
      <c r="AY22" s="65"/>
      <c r="AZ22" s="66"/>
      <c r="BA22" s="66"/>
      <c r="BB22" s="66"/>
      <c r="BC22" s="16" t="s">
        <v>22</v>
      </c>
      <c r="BD22" s="67"/>
      <c r="BE22" s="68"/>
      <c r="BF22" s="68"/>
      <c r="BG22" s="68"/>
      <c r="BH22" s="41" t="s">
        <v>23</v>
      </c>
      <c r="CO22" s="13" t="s">
        <v>30</v>
      </c>
    </row>
    <row r="23" spans="3:93" ht="13.8" customHeight="1" x14ac:dyDescent="0.3">
      <c r="C23" s="51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3"/>
      <c r="AF23" s="63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16" t="s">
        <v>21</v>
      </c>
      <c r="AY23" s="65"/>
      <c r="AZ23" s="66"/>
      <c r="BA23" s="66"/>
      <c r="BB23" s="66"/>
      <c r="BC23" s="16" t="s">
        <v>22</v>
      </c>
      <c r="BD23" s="67"/>
      <c r="BE23" s="68"/>
      <c r="BF23" s="68"/>
      <c r="BG23" s="68"/>
      <c r="BH23" s="41" t="s">
        <v>23</v>
      </c>
      <c r="BJ23" s="62" t="s">
        <v>28</v>
      </c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2"/>
      <c r="CB23" s="62"/>
      <c r="CC23" s="62"/>
      <c r="CD23" s="62"/>
      <c r="CE23" s="62"/>
      <c r="CF23" s="62"/>
      <c r="CG23" s="62"/>
      <c r="CH23" s="62"/>
      <c r="CI23" s="62"/>
      <c r="CJ23" s="62"/>
      <c r="CK23" s="62"/>
      <c r="CL23" s="62"/>
      <c r="CO23" s="13" t="s">
        <v>31</v>
      </c>
    </row>
    <row r="24" spans="3:93" ht="13.8" customHeight="1" x14ac:dyDescent="0.3"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3"/>
      <c r="AF24" s="63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16" t="s">
        <v>21</v>
      </c>
      <c r="AY24" s="65"/>
      <c r="AZ24" s="66"/>
      <c r="BA24" s="66"/>
      <c r="BB24" s="66"/>
      <c r="BC24" s="16" t="s">
        <v>22</v>
      </c>
      <c r="BD24" s="67"/>
      <c r="BE24" s="68"/>
      <c r="BF24" s="68"/>
      <c r="BG24" s="68"/>
      <c r="BH24" s="41" t="s">
        <v>23</v>
      </c>
      <c r="BJ24" s="61" t="s">
        <v>26</v>
      </c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 s="61"/>
      <c r="CF24" s="61"/>
      <c r="CG24" s="61"/>
      <c r="CH24" s="61"/>
      <c r="CI24" s="61"/>
      <c r="CJ24" s="61"/>
      <c r="CK24" s="61"/>
      <c r="CL24" s="61"/>
      <c r="CO24" s="13" t="s">
        <v>150</v>
      </c>
    </row>
    <row r="25" spans="3:93" ht="13.8" customHeight="1" x14ac:dyDescent="0.3">
      <c r="C25" s="51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3"/>
      <c r="AF25" s="63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16" t="s">
        <v>21</v>
      </c>
      <c r="AY25" s="65"/>
      <c r="AZ25" s="66"/>
      <c r="BA25" s="66"/>
      <c r="BB25" s="66"/>
      <c r="BC25" s="16" t="s">
        <v>22</v>
      </c>
      <c r="BD25" s="67"/>
      <c r="BE25" s="68"/>
      <c r="BF25" s="68"/>
      <c r="BG25" s="68"/>
      <c r="BH25" s="41" t="s">
        <v>23</v>
      </c>
      <c r="BJ25" s="61" t="s">
        <v>33</v>
      </c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 s="61"/>
      <c r="CF25" s="61"/>
      <c r="CG25" s="61"/>
      <c r="CH25" s="61"/>
      <c r="CI25" s="61"/>
      <c r="CJ25" s="61"/>
      <c r="CK25" s="61"/>
      <c r="CL25" s="61"/>
      <c r="CO25" s="13" t="s">
        <v>33</v>
      </c>
    </row>
    <row r="26" spans="3:93" ht="13.8" customHeight="1" x14ac:dyDescent="0.3">
      <c r="C26" s="51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3"/>
      <c r="AF26" s="63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16" t="s">
        <v>21</v>
      </c>
      <c r="AY26" s="65"/>
      <c r="AZ26" s="66"/>
      <c r="BA26" s="66"/>
      <c r="BB26" s="66"/>
      <c r="BC26" s="16" t="s">
        <v>22</v>
      </c>
      <c r="BD26" s="67"/>
      <c r="BE26" s="68"/>
      <c r="BF26" s="68"/>
      <c r="BG26" s="68"/>
      <c r="BH26" s="41" t="s">
        <v>23</v>
      </c>
      <c r="CO26" s="13" t="s">
        <v>35</v>
      </c>
    </row>
    <row r="27" spans="3:93" ht="13.8" customHeight="1" x14ac:dyDescent="0.3">
      <c r="C27" s="51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3"/>
      <c r="AF27" s="63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16" t="s">
        <v>21</v>
      </c>
      <c r="AY27" s="65"/>
      <c r="AZ27" s="66"/>
      <c r="BA27" s="66"/>
      <c r="BB27" s="66"/>
      <c r="BC27" s="16" t="s">
        <v>22</v>
      </c>
      <c r="BD27" s="67"/>
      <c r="BE27" s="68"/>
      <c r="BF27" s="68"/>
      <c r="BG27" s="68"/>
      <c r="BH27" s="41" t="s">
        <v>23</v>
      </c>
      <c r="BJ27" s="57" t="s">
        <v>36</v>
      </c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O27" s="13" t="s">
        <v>37</v>
      </c>
    </row>
    <row r="28" spans="3:93" ht="13.8" customHeight="1" x14ac:dyDescent="0.3">
      <c r="C28" s="51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3"/>
      <c r="AF28" s="63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16" t="s">
        <v>21</v>
      </c>
      <c r="AY28" s="65"/>
      <c r="AZ28" s="66"/>
      <c r="BA28" s="66"/>
      <c r="BB28" s="66"/>
      <c r="BC28" s="16" t="s">
        <v>22</v>
      </c>
      <c r="BD28" s="67"/>
      <c r="BE28" s="68"/>
      <c r="BF28" s="68"/>
      <c r="BG28" s="68"/>
      <c r="BH28" s="41" t="s">
        <v>23</v>
      </c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O28" s="13" t="s">
        <v>38</v>
      </c>
    </row>
    <row r="29" spans="3:93" ht="13.8" customHeight="1" x14ac:dyDescent="0.3">
      <c r="C29" s="51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3"/>
      <c r="AF29" s="63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16" t="s">
        <v>21</v>
      </c>
      <c r="AY29" s="65"/>
      <c r="AZ29" s="66"/>
      <c r="BA29" s="66"/>
      <c r="BB29" s="66"/>
      <c r="BC29" s="16" t="s">
        <v>22</v>
      </c>
      <c r="BD29" s="67"/>
      <c r="BE29" s="68"/>
      <c r="BF29" s="68"/>
      <c r="BG29" s="68"/>
      <c r="BH29" s="41" t="s">
        <v>23</v>
      </c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O29" s="13" t="s">
        <v>39</v>
      </c>
    </row>
    <row r="30" spans="3:93" ht="13.8" customHeight="1" x14ac:dyDescent="0.3"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6"/>
      <c r="AF30" s="63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16" t="s">
        <v>21</v>
      </c>
      <c r="AY30" s="65"/>
      <c r="AZ30" s="66"/>
      <c r="BA30" s="66"/>
      <c r="BB30" s="66"/>
      <c r="BC30" s="16" t="s">
        <v>22</v>
      </c>
      <c r="BD30" s="67"/>
      <c r="BE30" s="68"/>
      <c r="BF30" s="68"/>
      <c r="BG30" s="68"/>
      <c r="BH30" s="41" t="s">
        <v>23</v>
      </c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O30" s="13" t="s">
        <v>40</v>
      </c>
    </row>
    <row r="31" spans="3:93" ht="13.8" customHeight="1" x14ac:dyDescent="0.3">
      <c r="CO31" s="13" t="s">
        <v>41</v>
      </c>
    </row>
    <row r="32" spans="3:93" ht="13.8" customHeight="1" x14ac:dyDescent="0.3">
      <c r="CO32" s="13" t="s">
        <v>42</v>
      </c>
    </row>
    <row r="33" spans="93:93" ht="13.8" customHeight="1" x14ac:dyDescent="0.3">
      <c r="CO33" s="13" t="s">
        <v>43</v>
      </c>
    </row>
    <row r="35" spans="93:93" ht="13.8" customHeight="1" x14ac:dyDescent="0.3">
      <c r="CO35" s="13" t="s">
        <v>144</v>
      </c>
    </row>
    <row r="36" spans="93:93" ht="13.8" customHeight="1" x14ac:dyDescent="0.3">
      <c r="CO36" s="13" t="s">
        <v>145</v>
      </c>
    </row>
  </sheetData>
  <sheetProtection algorithmName="SHA-512" hashValue="RALO0yDQFjMTJpYi4OdnBxySvZVqmU77bBktZf2TDjzxIGnVsto+trOltx+jpld1kD1647+TumRCuv8/x2ovJw==" saltValue="MI39zKlZ4qWsWogkbv9DCQ==" spinCount="100000" sheet="1" selectLockedCells="1"/>
  <mergeCells count="81">
    <mergeCell ref="BJ28:CL30"/>
    <mergeCell ref="C18:AC19"/>
    <mergeCell ref="AF29:AW29"/>
    <mergeCell ref="AY29:BB29"/>
    <mergeCell ref="BD29:BG29"/>
    <mergeCell ref="AF30:AW30"/>
    <mergeCell ref="AY30:BB30"/>
    <mergeCell ref="BD30:BG30"/>
    <mergeCell ref="AF27:AW27"/>
    <mergeCell ref="AY27:BB27"/>
    <mergeCell ref="BD27:BG27"/>
    <mergeCell ref="AF28:AW28"/>
    <mergeCell ref="AY28:BB28"/>
    <mergeCell ref="BD28:BG28"/>
    <mergeCell ref="AF25:AW25"/>
    <mergeCell ref="AY25:BB25"/>
    <mergeCell ref="BD25:BG25"/>
    <mergeCell ref="AF26:AW26"/>
    <mergeCell ref="AY26:BB26"/>
    <mergeCell ref="BD26:BG26"/>
    <mergeCell ref="AY16:BB16"/>
    <mergeCell ref="BD19:BG19"/>
    <mergeCell ref="AY17:BB17"/>
    <mergeCell ref="BD17:BG17"/>
    <mergeCell ref="BD16:BG16"/>
    <mergeCell ref="AF16:AW16"/>
    <mergeCell ref="AF17:AW17"/>
    <mergeCell ref="AY19:BB19"/>
    <mergeCell ref="AF19:AW19"/>
    <mergeCell ref="AF20:AW20"/>
    <mergeCell ref="AY20:BB20"/>
    <mergeCell ref="AY21:BB21"/>
    <mergeCell ref="E2:AC2"/>
    <mergeCell ref="BC13:BG13"/>
    <mergeCell ref="BJ3:CL5"/>
    <mergeCell ref="BJ7:CL10"/>
    <mergeCell ref="BJ12:CL14"/>
    <mergeCell ref="BJ11:CL11"/>
    <mergeCell ref="C13:AC15"/>
    <mergeCell ref="C5:AC7"/>
    <mergeCell ref="C9:AC11"/>
    <mergeCell ref="AF13:AU13"/>
    <mergeCell ref="AY14:BB14"/>
    <mergeCell ref="AY15:BB15"/>
    <mergeCell ref="AF15:AW15"/>
    <mergeCell ref="AF14:AW14"/>
    <mergeCell ref="BD15:BG15"/>
    <mergeCell ref="CB2:CL2"/>
    <mergeCell ref="AQ2:BG2"/>
    <mergeCell ref="AO7:BG7"/>
    <mergeCell ref="AO12:BG12"/>
    <mergeCell ref="BD14:BG14"/>
    <mergeCell ref="AF4:BG5"/>
    <mergeCell ref="AF9:BG10"/>
    <mergeCell ref="AF22:AW22"/>
    <mergeCell ref="AY22:BB22"/>
    <mergeCell ref="BD22:BG22"/>
    <mergeCell ref="BJ6:CL6"/>
    <mergeCell ref="BJ18:CL18"/>
    <mergeCell ref="BJ17:CL17"/>
    <mergeCell ref="BJ15:CL15"/>
    <mergeCell ref="AX13:BB13"/>
    <mergeCell ref="BD18:BG18"/>
    <mergeCell ref="AY18:BB18"/>
    <mergeCell ref="AF18:AW18"/>
    <mergeCell ref="C20:AC30"/>
    <mergeCell ref="BJ27:CK27"/>
    <mergeCell ref="BJ21:CL21"/>
    <mergeCell ref="BJ25:CL25"/>
    <mergeCell ref="BJ24:CL24"/>
    <mergeCell ref="BJ23:CL23"/>
    <mergeCell ref="BJ20:CL20"/>
    <mergeCell ref="AF23:AW23"/>
    <mergeCell ref="AY23:BB23"/>
    <mergeCell ref="BD23:BG23"/>
    <mergeCell ref="AF24:AW24"/>
    <mergeCell ref="AY24:BB24"/>
    <mergeCell ref="BD24:BG24"/>
    <mergeCell ref="BD20:BG20"/>
    <mergeCell ref="AF21:AW21"/>
    <mergeCell ref="BD21:BG21"/>
  </mergeCells>
  <phoneticPr fontId="2" type="noConversion"/>
  <conditionalFormatting sqref="AQ2">
    <cfRule type="cellIs" dxfId="19" priority="17" operator="equal">
      <formula>$CO$5</formula>
    </cfRule>
    <cfRule type="cellIs" dxfId="18" priority="18" operator="equal">
      <formula>$CO$4</formula>
    </cfRule>
    <cfRule type="cellIs" dxfId="17" priority="19" operator="equal">
      <formula>$CO$3</formula>
    </cfRule>
  </conditionalFormatting>
  <conditionalFormatting sqref="AO7:BG7">
    <cfRule type="cellIs" dxfId="16" priority="5" operator="equal">
      <formula>$CO$9</formula>
    </cfRule>
    <cfRule type="cellIs" dxfId="15" priority="6" operator="equal">
      <formula>$CO$8</formula>
    </cfRule>
    <cfRule type="cellIs" dxfId="14" priority="7" operator="equal">
      <formula>$CO$7</formula>
    </cfRule>
  </conditionalFormatting>
  <conditionalFormatting sqref="AO12:BG12">
    <cfRule type="cellIs" dxfId="13" priority="3" operator="equal">
      <formula>$CO$11</formula>
    </cfRule>
    <cfRule type="cellIs" dxfId="12" priority="4" operator="equal">
      <formula>$CO$12</formula>
    </cfRule>
  </conditionalFormatting>
  <conditionalFormatting sqref="BJ6 BJ15 BJ11">
    <cfRule type="cellIs" dxfId="11" priority="2" operator="equal">
      <formula>$CO$35</formula>
    </cfRule>
    <cfRule type="cellIs" dxfId="10" priority="1" operator="equal">
      <formula>$CO$36</formula>
    </cfRule>
  </conditionalFormatting>
  <dataValidations xWindow="1015" yWindow="753" count="7">
    <dataValidation type="list" allowBlank="1" showInputMessage="1" showErrorMessage="1" sqref="BJ28" xr:uid="{7C8AFCAE-5383-4BBB-A21A-CBAE3A0D1EA8}">
      <formula1>$CO$14:$CO$17</formula1>
    </dataValidation>
    <dataValidation type="list" allowBlank="1" showInputMessage="1" showErrorMessage="1" sqref="AO12:BG12" xr:uid="{D61749E8-B59C-448E-B13F-A361FC806897}">
      <formula1>$CO$10:$CO$12</formula1>
    </dataValidation>
    <dataValidation type="list" allowBlank="1" showInputMessage="1" showErrorMessage="1" sqref="AM7:AO7" xr:uid="{0F427C86-CE7B-4839-9335-DF08B3FE5738}">
      <formula1>$CO$6:$CO$9</formula1>
    </dataValidation>
    <dataValidation type="list" showInputMessage="1" showErrorMessage="1" sqref="AM2:AQ2" xr:uid="{F3A58B90-71AB-4ADE-80F1-2890397FD97B}">
      <formula1>$CO$2:$CO$5</formula1>
    </dataValidation>
    <dataValidation type="list" allowBlank="1" showInputMessage="1" showErrorMessage="1" sqref="BJ6 BJ15 BJ11" xr:uid="{17055C49-27C8-40E6-9FDC-95E348EB54D2}">
      <formula1>$CO$35:$CO$36</formula1>
    </dataValidation>
    <dataValidation type="list" allowBlank="1" showInputMessage="1" showErrorMessage="1" sqref="BJ24:CL24" xr:uid="{42439AFD-645B-4D23-B7FE-7057C612C826}">
      <formula1>$CO$18:$CO$24</formula1>
    </dataValidation>
    <dataValidation type="list" allowBlank="1" showInputMessage="1" showErrorMessage="1" sqref="BJ25:CL25" xr:uid="{4541ABCE-F4D3-4844-ABF8-5D0C50264698}">
      <formula1>$CO$25:$CO$33</formula1>
    </dataValidation>
  </dataValidations>
  <pageMargins left="0.7" right="0.7" top="0.75" bottom="0.75" header="0.3" footer="0.3"/>
  <pageSetup paperSize="256" orientation="portrait" horizontalDpi="305" verticalDpi="30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EF07-71AA-483B-93B7-EF393C9B60BA}">
  <sheetPr codeName="Sheet2"/>
  <dimension ref="C1:BQ29"/>
  <sheetViews>
    <sheetView showGridLines="0" zoomScaleNormal="100" workbookViewId="0">
      <selection activeCell="C26" sqref="C26:AC29"/>
    </sheetView>
  </sheetViews>
  <sheetFormatPr defaultColWidth="3.44140625" defaultRowHeight="13.8" customHeight="1" x14ac:dyDescent="0.3"/>
  <cols>
    <col min="1" max="29" width="3.44140625" style="13"/>
    <col min="30" max="30" width="3.44140625" style="14"/>
    <col min="31" max="54" width="3.44140625" style="13"/>
    <col min="55" max="55" width="0.77734375" style="13" customWidth="1"/>
    <col min="56" max="68" width="3.44140625" style="13"/>
    <col min="69" max="69" width="3.44140625" style="13" hidden="1" customWidth="1"/>
    <col min="70" max="16384" width="3.44140625" style="13"/>
  </cols>
  <sheetData>
    <row r="1" spans="3:69" ht="13.8" customHeight="1" x14ac:dyDescent="0.3">
      <c r="C1" s="12"/>
      <c r="AD1" s="13"/>
      <c r="AE1" s="18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</row>
    <row r="2" spans="3:69" ht="13.8" customHeight="1" x14ac:dyDescent="0.3">
      <c r="C2" s="12" t="s">
        <v>0</v>
      </c>
      <c r="E2" s="73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65"/>
      <c r="AF2" s="77" t="s">
        <v>44</v>
      </c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12"/>
    </row>
    <row r="3" spans="3:69" ht="13.8" customHeight="1" x14ac:dyDescent="0.3"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</row>
    <row r="4" spans="3:69" ht="13.8" customHeight="1" x14ac:dyDescent="0.3">
      <c r="C4" s="77" t="s">
        <v>45</v>
      </c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F4" s="12" t="s">
        <v>148</v>
      </c>
      <c r="AR4" s="13" t="s">
        <v>10</v>
      </c>
      <c r="AS4" s="73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65"/>
      <c r="BH4" s="19" t="s">
        <v>47</v>
      </c>
      <c r="BQ4" s="13" t="s">
        <v>48</v>
      </c>
    </row>
    <row r="5" spans="3:69" ht="13.8" customHeight="1" x14ac:dyDescent="0.3">
      <c r="AF5" s="12" t="s">
        <v>149</v>
      </c>
      <c r="AS5" s="73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65"/>
      <c r="BH5" s="19" t="s">
        <v>50</v>
      </c>
      <c r="BQ5" s="13" t="s">
        <v>51</v>
      </c>
    </row>
    <row r="6" spans="3:69" ht="13.8" customHeight="1" x14ac:dyDescent="0.3">
      <c r="C6" s="12" t="s">
        <v>52</v>
      </c>
      <c r="H6" s="73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65"/>
      <c r="AF6" s="12" t="s">
        <v>53</v>
      </c>
      <c r="AS6" s="73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65"/>
      <c r="BQ6" s="13" t="s">
        <v>54</v>
      </c>
    </row>
    <row r="7" spans="3:69" ht="13.8" customHeight="1" x14ac:dyDescent="0.3">
      <c r="AF7" s="12" t="s">
        <v>55</v>
      </c>
      <c r="AM7" s="81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3"/>
    </row>
    <row r="8" spans="3:69" ht="13.8" customHeight="1" x14ac:dyDescent="0.3">
      <c r="C8" s="12" t="s">
        <v>56</v>
      </c>
      <c r="AF8" s="13" t="s">
        <v>57</v>
      </c>
      <c r="BQ8" s="13" t="s">
        <v>58</v>
      </c>
    </row>
    <row r="9" spans="3:69" ht="13.8" customHeight="1" x14ac:dyDescent="0.3">
      <c r="C9" s="84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6"/>
      <c r="AF9" s="48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49"/>
      <c r="BF9" s="49"/>
      <c r="BG9" s="50"/>
      <c r="BQ9" s="13" t="s">
        <v>59</v>
      </c>
    </row>
    <row r="10" spans="3:69" ht="13.8" customHeight="1" x14ac:dyDescent="0.3">
      <c r="C10" s="87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9"/>
      <c r="AF10" s="54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6"/>
      <c r="BQ10" s="13" t="s">
        <v>60</v>
      </c>
    </row>
    <row r="11" spans="3:69" ht="13.8" customHeight="1" x14ac:dyDescent="0.3"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9"/>
      <c r="BG11" s="12"/>
    </row>
    <row r="12" spans="3:69" ht="13.8" customHeight="1" x14ac:dyDescent="0.3">
      <c r="C12" s="87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9"/>
      <c r="AF12" s="12" t="s">
        <v>61</v>
      </c>
      <c r="AR12" s="12"/>
      <c r="AS12" s="12"/>
      <c r="AT12" s="81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3"/>
      <c r="BQ12" s="13" t="s">
        <v>14</v>
      </c>
    </row>
    <row r="13" spans="3:69" ht="13.8" customHeight="1" x14ac:dyDescent="0.3">
      <c r="C13" s="87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9"/>
      <c r="AF13" s="77" t="s">
        <v>18</v>
      </c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12"/>
      <c r="AW13" s="12"/>
      <c r="BC13" s="93" t="s">
        <v>19</v>
      </c>
      <c r="BD13" s="93"/>
      <c r="BE13" s="93"/>
      <c r="BF13" s="93"/>
      <c r="BG13" s="93"/>
      <c r="BQ13" s="13" t="s">
        <v>17</v>
      </c>
    </row>
    <row r="14" spans="3:69" ht="13.8" customHeight="1" x14ac:dyDescent="0.3">
      <c r="C14" s="87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9"/>
      <c r="AF14" s="63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94"/>
      <c r="BC14" s="16" t="s">
        <v>21</v>
      </c>
      <c r="BD14" s="74"/>
      <c r="BE14" s="74"/>
      <c r="BF14" s="74"/>
      <c r="BG14" s="65"/>
      <c r="BH14" s="17" t="s">
        <v>23</v>
      </c>
      <c r="BI14" s="17"/>
      <c r="BJ14" s="17"/>
      <c r="BK14" s="17"/>
      <c r="BL14" s="17"/>
      <c r="BM14" s="17"/>
    </row>
    <row r="15" spans="3:69" ht="13.8" customHeight="1" x14ac:dyDescent="0.3"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2"/>
      <c r="AF15" s="63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94"/>
      <c r="BC15" s="16" t="s">
        <v>21</v>
      </c>
      <c r="BD15" s="74"/>
      <c r="BE15" s="74"/>
      <c r="BF15" s="74"/>
      <c r="BG15" s="65"/>
      <c r="BH15" s="17" t="s">
        <v>23</v>
      </c>
      <c r="BI15" s="17"/>
      <c r="BJ15" s="17"/>
      <c r="BK15" s="17"/>
      <c r="BL15" s="17"/>
      <c r="BM15" s="17"/>
      <c r="BQ15" s="13" t="s">
        <v>62</v>
      </c>
    </row>
    <row r="16" spans="3:69" ht="13.8" customHeight="1" x14ac:dyDescent="0.3">
      <c r="AF16" s="63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94"/>
      <c r="BC16" s="16" t="s">
        <v>21</v>
      </c>
      <c r="BD16" s="74"/>
      <c r="BE16" s="74"/>
      <c r="BF16" s="74"/>
      <c r="BG16" s="65"/>
      <c r="BH16" s="17" t="s">
        <v>23</v>
      </c>
      <c r="BI16" s="17"/>
      <c r="BJ16" s="17"/>
      <c r="BK16" s="17"/>
      <c r="BL16" s="17"/>
      <c r="BM16" s="17"/>
      <c r="BQ16" s="13" t="s">
        <v>63</v>
      </c>
    </row>
    <row r="17" spans="3:69" ht="13.8" customHeight="1" x14ac:dyDescent="0.3">
      <c r="C17" s="12" t="s">
        <v>64</v>
      </c>
      <c r="AF17" s="63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94"/>
      <c r="BC17" s="16" t="s">
        <v>21</v>
      </c>
      <c r="BD17" s="74"/>
      <c r="BE17" s="74"/>
      <c r="BF17" s="74"/>
      <c r="BG17" s="65"/>
      <c r="BH17" s="17" t="s">
        <v>23</v>
      </c>
      <c r="BI17" s="17"/>
      <c r="BJ17" s="17"/>
      <c r="BK17" s="17"/>
      <c r="BL17" s="17"/>
      <c r="BM17" s="17"/>
      <c r="BQ17" s="13" t="s">
        <v>65</v>
      </c>
    </row>
    <row r="18" spans="3:69" ht="13.8" customHeight="1" x14ac:dyDescent="0.3">
      <c r="C18" s="13" t="s">
        <v>66</v>
      </c>
      <c r="AF18" s="63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94"/>
      <c r="BC18" s="16" t="s">
        <v>21</v>
      </c>
      <c r="BD18" s="74"/>
      <c r="BE18" s="74"/>
      <c r="BF18" s="74"/>
      <c r="BG18" s="65"/>
      <c r="BH18" s="17" t="s">
        <v>23</v>
      </c>
      <c r="BI18" s="17"/>
      <c r="BJ18" s="17"/>
      <c r="BK18" s="17"/>
      <c r="BL18" s="17"/>
      <c r="BM18" s="17"/>
      <c r="BQ18" s="13" t="s">
        <v>67</v>
      </c>
    </row>
    <row r="19" spans="3:69" ht="13.8" customHeight="1" x14ac:dyDescent="0.3">
      <c r="C19" s="84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6"/>
      <c r="AF19" s="95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7"/>
      <c r="BC19" s="16" t="s">
        <v>21</v>
      </c>
      <c r="BD19" s="74"/>
      <c r="BE19" s="74"/>
      <c r="BF19" s="74"/>
      <c r="BG19" s="65"/>
      <c r="BH19" s="17" t="s">
        <v>23</v>
      </c>
      <c r="BI19" s="17"/>
      <c r="BJ19" s="17"/>
      <c r="BK19" s="17"/>
      <c r="BL19" s="17"/>
      <c r="BM19" s="17"/>
      <c r="BQ19" s="13" t="s">
        <v>68</v>
      </c>
    </row>
    <row r="20" spans="3:69" ht="13.8" customHeight="1" x14ac:dyDescent="0.3">
      <c r="C20" s="87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9"/>
      <c r="AF20" s="95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7"/>
      <c r="BC20" s="16" t="s">
        <v>21</v>
      </c>
      <c r="BD20" s="74"/>
      <c r="BE20" s="74"/>
      <c r="BF20" s="74"/>
      <c r="BG20" s="65"/>
      <c r="BH20" s="17" t="s">
        <v>23</v>
      </c>
      <c r="BI20" s="17"/>
      <c r="BJ20" s="17"/>
      <c r="BK20" s="17"/>
      <c r="BL20" s="17"/>
      <c r="BM20" s="17"/>
    </row>
    <row r="21" spans="3:69" ht="13.8" customHeight="1" x14ac:dyDescent="0.3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9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</row>
    <row r="22" spans="3:69" ht="13.8" customHeight="1" x14ac:dyDescent="0.3">
      <c r="C22" s="90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2"/>
      <c r="AF22" s="12" t="s">
        <v>69</v>
      </c>
      <c r="AI22" s="17"/>
      <c r="AJ22" s="17"/>
      <c r="AK22" s="17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</row>
    <row r="23" spans="3:69" ht="13.8" customHeight="1" x14ac:dyDescent="0.3"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</row>
    <row r="24" spans="3:69" ht="13.8" customHeight="1" x14ac:dyDescent="0.3">
      <c r="C24" s="12" t="s">
        <v>70</v>
      </c>
      <c r="AF24" s="12" t="s">
        <v>71</v>
      </c>
    </row>
    <row r="25" spans="3:69" ht="13.8" customHeight="1" x14ac:dyDescent="0.3">
      <c r="C25" s="13" t="s">
        <v>72</v>
      </c>
      <c r="AF25" s="13" t="s">
        <v>73</v>
      </c>
    </row>
    <row r="26" spans="3:69" ht="13.8" customHeight="1" x14ac:dyDescent="0.3">
      <c r="C26" s="84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6"/>
      <c r="AF26" s="48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50"/>
    </row>
    <row r="27" spans="3:69" ht="13.8" customHeight="1" x14ac:dyDescent="0.3">
      <c r="C27" s="87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9"/>
      <c r="AF27" s="51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3"/>
    </row>
    <row r="28" spans="3:69" ht="13.8" customHeight="1" x14ac:dyDescent="0.3">
      <c r="C28" s="87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9"/>
      <c r="AF28" s="51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3"/>
    </row>
    <row r="29" spans="3:69" ht="13.8" customHeight="1" x14ac:dyDescent="0.3">
      <c r="C29" s="90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2"/>
      <c r="AF29" s="54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6"/>
    </row>
  </sheetData>
  <sheetProtection algorithmName="SHA-512" hashValue="PpQjx9ZI6A3xwpJe122z0ScCfeChWhLlYxQK7pHHygoMmqgGGeTImQ3Sg5rPBLnYyF/WOkVCkTxvwOyz5Otdrw==" saltValue="MM4h+ht05xGZhTbD/E36BQ==" spinCount="100000" sheet="1" selectLockedCells="1"/>
  <mergeCells count="31">
    <mergeCell ref="C26:AC29"/>
    <mergeCell ref="AF26:BG29"/>
    <mergeCell ref="AF14:BB14"/>
    <mergeCell ref="AF15:BB15"/>
    <mergeCell ref="AF16:BB16"/>
    <mergeCell ref="AF17:BB17"/>
    <mergeCell ref="AF18:BB18"/>
    <mergeCell ref="AF19:BB19"/>
    <mergeCell ref="AF20:BB20"/>
    <mergeCell ref="C19:AC22"/>
    <mergeCell ref="BD19:BG19"/>
    <mergeCell ref="BD20:BG20"/>
    <mergeCell ref="AL22:BG22"/>
    <mergeCell ref="BD17:BG17"/>
    <mergeCell ref="BD18:BG18"/>
    <mergeCell ref="BD15:BG15"/>
    <mergeCell ref="BD16:BG16"/>
    <mergeCell ref="AM7:BG7"/>
    <mergeCell ref="C9:AC15"/>
    <mergeCell ref="AF9:BG10"/>
    <mergeCell ref="AT12:BG12"/>
    <mergeCell ref="AF13:AU13"/>
    <mergeCell ref="BC13:BG13"/>
    <mergeCell ref="BD14:BG14"/>
    <mergeCell ref="H6:AC6"/>
    <mergeCell ref="AS6:BG6"/>
    <mergeCell ref="E2:AC2"/>
    <mergeCell ref="AF2:BF2"/>
    <mergeCell ref="C4:AC4"/>
    <mergeCell ref="AS4:BG4"/>
    <mergeCell ref="AS5:BG5"/>
  </mergeCells>
  <conditionalFormatting sqref="AM7">
    <cfRule type="cellIs" dxfId="9" priority="5" operator="equal">
      <formula>$BQ$12</formula>
    </cfRule>
    <cfRule type="cellIs" dxfId="8" priority="6" operator="equal">
      <formula>$BQ$13</formula>
    </cfRule>
  </conditionalFormatting>
  <conditionalFormatting sqref="BQ13">
    <cfRule type="cellIs" dxfId="7" priority="4" operator="equal">
      <formula>$BT$12</formula>
    </cfRule>
  </conditionalFormatting>
  <conditionalFormatting sqref="BQ12">
    <cfRule type="cellIs" dxfId="6" priority="3" operator="equal">
      <formula>$BT$11</formula>
    </cfRule>
  </conditionalFormatting>
  <conditionalFormatting sqref="AT12">
    <cfRule type="cellIs" dxfId="5" priority="1" operator="equal">
      <formula>$BQ$12</formula>
    </cfRule>
    <cfRule type="cellIs" dxfId="4" priority="2" operator="equal">
      <formula>$BQ$13</formula>
    </cfRule>
  </conditionalFormatting>
  <dataValidations count="5">
    <dataValidation type="list" allowBlank="1" showInputMessage="1" showErrorMessage="1" sqref="AR12" xr:uid="{4CA16877-A6D6-4616-8C56-9D72EE43C505}">
      <formula1>#REF!</formula1>
    </dataValidation>
    <dataValidation type="list" allowBlank="1" showInputMessage="1" showErrorMessage="1" sqref="H6:AC6" xr:uid="{1FA18FFC-BCA4-49FA-B768-1F822EA15EA5}">
      <formula1>$BQ$3:$BQ$6</formula1>
    </dataValidation>
    <dataValidation type="list" allowBlank="1" showInputMessage="1" showErrorMessage="1" sqref="AM7 AT12:BG12" xr:uid="{0DFD8BD8-725C-4A6F-ADA6-3601B7D0BD2B}">
      <formula1>$BQ$11:$BQ$13</formula1>
    </dataValidation>
    <dataValidation type="list" allowBlank="1" showInputMessage="1" showErrorMessage="1" sqref="AL22:BG22" xr:uid="{5B8CB443-A58B-4FD5-AE8B-BC676A6100D9}">
      <formula1>$BQ$14:$BQ$19</formula1>
    </dataValidation>
    <dataValidation type="list" allowBlank="1" showInputMessage="1" showErrorMessage="1" sqref="AS6:BG6" xr:uid="{58CDF3E5-A758-450F-9982-94E7F7AADE88}">
      <formula1>$BQ$7:$BQ$10</formula1>
    </dataValidation>
  </dataValidations>
  <pageMargins left="0.7" right="0.7" top="0.75" bottom="0.75" header="0.3" footer="0.3"/>
  <pageSetup paperSize="256" orientation="portrait" horizontalDpi="305" verticalDpi="30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7E09E-2392-4E68-8348-5598C7C5AD35}">
  <sheetPr codeName="Sheet4"/>
  <dimension ref="C1:BT41"/>
  <sheetViews>
    <sheetView showGridLines="0" zoomScaleNormal="100" workbookViewId="0">
      <selection activeCell="C20" sqref="C20:AC29"/>
    </sheetView>
  </sheetViews>
  <sheetFormatPr defaultColWidth="3.44140625" defaultRowHeight="13.8" customHeight="1" x14ac:dyDescent="0.3"/>
  <cols>
    <col min="1" max="29" width="3.44140625" style="13"/>
    <col min="30" max="30" width="3.44140625" style="14"/>
    <col min="31" max="49" width="3.44140625" style="13"/>
    <col min="50" max="50" width="0.88671875" style="13" customWidth="1"/>
    <col min="51" max="54" width="3.44140625" style="13"/>
    <col min="55" max="55" width="0.77734375" style="13" customWidth="1"/>
    <col min="56" max="71" width="3.44140625" style="13"/>
    <col min="72" max="72" width="3.44140625" style="13" hidden="1" customWidth="1"/>
    <col min="73" max="16384" width="3.44140625" style="13"/>
  </cols>
  <sheetData>
    <row r="1" spans="3:72" ht="13.8" customHeight="1" x14ac:dyDescent="0.3">
      <c r="C1" s="12"/>
      <c r="AD1" s="13"/>
      <c r="AE1" s="18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</row>
    <row r="2" spans="3:72" ht="13.8" customHeight="1" x14ac:dyDescent="0.3">
      <c r="C2" s="12" t="s">
        <v>0</v>
      </c>
      <c r="E2" s="73" t="s">
        <v>154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65"/>
      <c r="AF2" s="77" t="s">
        <v>74</v>
      </c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12"/>
    </row>
    <row r="3" spans="3:72" ht="13.8" customHeight="1" x14ac:dyDescent="0.3"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T3" s="13" t="str">
        <f>" "</f>
        <v xml:space="preserve"> </v>
      </c>
    </row>
    <row r="4" spans="3:72" ht="13.8" customHeight="1" x14ac:dyDescent="0.3">
      <c r="C4" s="12" t="s">
        <v>75</v>
      </c>
      <c r="AF4" s="12" t="s">
        <v>76</v>
      </c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19" t="s">
        <v>47</v>
      </c>
      <c r="BT4" s="13" t="s">
        <v>77</v>
      </c>
    </row>
    <row r="5" spans="3:72" ht="13.8" customHeight="1" x14ac:dyDescent="0.3">
      <c r="C5" s="99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1"/>
      <c r="AF5" s="12" t="s">
        <v>78</v>
      </c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19" t="s">
        <v>50</v>
      </c>
      <c r="BT5" s="13" t="s">
        <v>79</v>
      </c>
    </row>
    <row r="6" spans="3:72" ht="13.8" customHeight="1" x14ac:dyDescent="0.3">
      <c r="AF6" s="12" t="s">
        <v>80</v>
      </c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T6" s="13" t="s">
        <v>81</v>
      </c>
    </row>
    <row r="7" spans="3:72" ht="13.8" customHeight="1" x14ac:dyDescent="0.3">
      <c r="C7" s="12" t="s">
        <v>82</v>
      </c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F7" s="12" t="s">
        <v>83</v>
      </c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</row>
    <row r="8" spans="3:72" ht="13.8" customHeight="1" x14ac:dyDescent="0.3">
      <c r="C8" s="13" t="s">
        <v>84</v>
      </c>
      <c r="AF8" s="12" t="s">
        <v>85</v>
      </c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T8" s="13" t="s">
        <v>86</v>
      </c>
    </row>
    <row r="9" spans="3:72" ht="13.8" customHeight="1" x14ac:dyDescent="0.3">
      <c r="C9" s="48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50"/>
      <c r="AF9" s="12" t="s">
        <v>87</v>
      </c>
      <c r="AP9" s="73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65"/>
      <c r="BT9" s="13" t="s">
        <v>88</v>
      </c>
    </row>
    <row r="10" spans="3:72" ht="13.8" customHeight="1" x14ac:dyDescent="0.3">
      <c r="C10" s="51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3"/>
      <c r="AF10" s="12" t="s">
        <v>89</v>
      </c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</row>
    <row r="11" spans="3:72" ht="13.8" customHeight="1" x14ac:dyDescent="0.3">
      <c r="C11" s="51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3"/>
      <c r="AF11" s="12" t="s">
        <v>90</v>
      </c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T11" s="13" t="s">
        <v>14</v>
      </c>
    </row>
    <row r="12" spans="3:72" ht="13.8" customHeight="1" x14ac:dyDescent="0.3">
      <c r="C12" s="51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3"/>
      <c r="AF12" s="12" t="s">
        <v>91</v>
      </c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T12" s="13" t="s">
        <v>17</v>
      </c>
    </row>
    <row r="13" spans="3:72" ht="13.8" customHeight="1" x14ac:dyDescent="0.3">
      <c r="C13" s="51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3"/>
      <c r="AD13" s="13"/>
      <c r="AE13" s="18"/>
      <c r="AF13" s="12"/>
      <c r="AP13" s="102" t="s">
        <v>10</v>
      </c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</row>
    <row r="14" spans="3:72" ht="13.8" customHeight="1" x14ac:dyDescent="0.3">
      <c r="C14" s="51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13"/>
      <c r="AE14" s="18"/>
      <c r="AF14" s="12" t="s">
        <v>92</v>
      </c>
      <c r="AP14" s="81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3"/>
      <c r="BH14" s="17" t="s">
        <v>23</v>
      </c>
      <c r="BI14" s="17"/>
      <c r="BJ14" s="17"/>
      <c r="BK14" s="17"/>
      <c r="BL14" s="17"/>
      <c r="BM14" s="17"/>
      <c r="BT14" s="13" t="s">
        <v>155</v>
      </c>
    </row>
    <row r="15" spans="3:72" ht="13.8" customHeight="1" x14ac:dyDescent="0.3">
      <c r="C15" s="51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3"/>
      <c r="AD15" s="13"/>
      <c r="AE15" s="18"/>
      <c r="AF15" s="77" t="s">
        <v>18</v>
      </c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12"/>
      <c r="AW15" s="12"/>
      <c r="AX15" s="70" t="s">
        <v>19</v>
      </c>
      <c r="AY15" s="70"/>
      <c r="AZ15" s="70"/>
      <c r="BA15" s="70"/>
      <c r="BB15" s="70"/>
      <c r="BC15" s="70" t="s">
        <v>20</v>
      </c>
      <c r="BD15" s="70"/>
      <c r="BE15" s="70"/>
      <c r="BF15" s="70"/>
      <c r="BG15" s="70"/>
      <c r="BH15" s="17" t="s">
        <v>23</v>
      </c>
      <c r="BI15" s="17"/>
      <c r="BJ15" s="17"/>
      <c r="BK15" s="17"/>
      <c r="BL15" s="17"/>
      <c r="BM15" s="17"/>
      <c r="BT15" s="13" t="s">
        <v>156</v>
      </c>
    </row>
    <row r="16" spans="3:72" ht="13.8" customHeight="1" x14ac:dyDescent="0.3"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3"/>
      <c r="AD16" s="12"/>
      <c r="AE16" s="18"/>
      <c r="AF16" s="63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16" t="s">
        <v>21</v>
      </c>
      <c r="AY16" s="74"/>
      <c r="AZ16" s="74"/>
      <c r="BA16" s="74"/>
      <c r="BB16" s="65"/>
      <c r="BC16" s="16" t="s">
        <v>22</v>
      </c>
      <c r="BD16" s="74"/>
      <c r="BE16" s="74"/>
      <c r="BF16" s="74"/>
      <c r="BG16" s="65"/>
      <c r="BH16" s="17" t="s">
        <v>23</v>
      </c>
      <c r="BI16" s="17"/>
      <c r="BJ16" s="17"/>
      <c r="BK16" s="17"/>
      <c r="BL16" s="17"/>
      <c r="BM16" s="17"/>
      <c r="BT16" s="13" t="s">
        <v>93</v>
      </c>
    </row>
    <row r="17" spans="3:72" ht="13.8" customHeight="1" x14ac:dyDescent="0.3">
      <c r="C17" s="54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6"/>
      <c r="AD17" s="13"/>
      <c r="AE17" s="18"/>
      <c r="AF17" s="63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16" t="s">
        <v>21</v>
      </c>
      <c r="AY17" s="74"/>
      <c r="AZ17" s="74"/>
      <c r="BA17" s="74"/>
      <c r="BB17" s="65"/>
      <c r="BC17" s="16" t="s">
        <v>22</v>
      </c>
      <c r="BD17" s="74"/>
      <c r="BE17" s="74"/>
      <c r="BF17" s="74"/>
      <c r="BG17" s="65"/>
      <c r="BH17" s="17" t="s">
        <v>23</v>
      </c>
      <c r="BI17" s="17"/>
      <c r="BJ17" s="17"/>
      <c r="BK17" s="17"/>
      <c r="BL17" s="17"/>
      <c r="BM17" s="17"/>
      <c r="BT17" s="13" t="s">
        <v>138</v>
      </c>
    </row>
    <row r="18" spans="3:72" ht="13.8" customHeight="1" x14ac:dyDescent="0.3">
      <c r="AD18" s="13"/>
      <c r="AE18" s="18"/>
      <c r="AF18" s="63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16" t="s">
        <v>21</v>
      </c>
      <c r="AY18" s="74"/>
      <c r="AZ18" s="74"/>
      <c r="BA18" s="74"/>
      <c r="BB18" s="65"/>
      <c r="BC18" s="16" t="s">
        <v>22</v>
      </c>
      <c r="BD18" s="74"/>
      <c r="BE18" s="74"/>
      <c r="BF18" s="74"/>
      <c r="BG18" s="65"/>
      <c r="BH18" s="17" t="s">
        <v>23</v>
      </c>
      <c r="BI18" s="17"/>
      <c r="BJ18" s="17"/>
      <c r="BK18" s="17"/>
      <c r="BL18" s="17"/>
      <c r="BM18" s="17"/>
    </row>
    <row r="19" spans="3:72" ht="13.8" customHeight="1" x14ac:dyDescent="0.3">
      <c r="C19" s="15" t="s">
        <v>94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F19" s="63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16" t="s">
        <v>21</v>
      </c>
      <c r="AY19" s="74"/>
      <c r="AZ19" s="74"/>
      <c r="BA19" s="74"/>
      <c r="BB19" s="65"/>
      <c r="BC19" s="16" t="s">
        <v>22</v>
      </c>
      <c r="BD19" s="74"/>
      <c r="BE19" s="74"/>
      <c r="BF19" s="74"/>
      <c r="BG19" s="65"/>
      <c r="BH19" s="17" t="s">
        <v>23</v>
      </c>
      <c r="BI19" s="17"/>
      <c r="BJ19" s="17"/>
      <c r="BK19" s="17"/>
      <c r="BL19" s="17"/>
      <c r="BM19" s="17"/>
      <c r="BT19" s="13" t="s">
        <v>26</v>
      </c>
    </row>
    <row r="20" spans="3:72" ht="13.8" customHeight="1" x14ac:dyDescent="0.3">
      <c r="C20" s="48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50"/>
      <c r="AF20" s="63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16" t="s">
        <v>21</v>
      </c>
      <c r="AY20" s="74"/>
      <c r="AZ20" s="74"/>
      <c r="BA20" s="74"/>
      <c r="BB20" s="65"/>
      <c r="BC20" s="16" t="s">
        <v>22</v>
      </c>
      <c r="BD20" s="74"/>
      <c r="BE20" s="74"/>
      <c r="BF20" s="74"/>
      <c r="BG20" s="65"/>
      <c r="BH20" s="17" t="s">
        <v>23</v>
      </c>
      <c r="BI20" s="17"/>
      <c r="BJ20" s="17"/>
      <c r="BK20" s="17"/>
      <c r="BL20" s="17"/>
      <c r="BM20" s="17"/>
      <c r="BT20" s="13" t="s">
        <v>27</v>
      </c>
    </row>
    <row r="21" spans="3:72" ht="13.8" customHeight="1" x14ac:dyDescent="0.3">
      <c r="C21" s="51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3"/>
      <c r="AF21" s="63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16" t="s">
        <v>21</v>
      </c>
      <c r="AY21" s="74"/>
      <c r="AZ21" s="74"/>
      <c r="BA21" s="74"/>
      <c r="BB21" s="65"/>
      <c r="BC21" s="16" t="s">
        <v>22</v>
      </c>
      <c r="BD21" s="74"/>
      <c r="BE21" s="74"/>
      <c r="BF21" s="74"/>
      <c r="BG21" s="65"/>
      <c r="BH21" s="17" t="s">
        <v>23</v>
      </c>
      <c r="BT21" s="13" t="s">
        <v>29</v>
      </c>
    </row>
    <row r="22" spans="3:72" ht="13.8" customHeight="1" x14ac:dyDescent="0.3">
      <c r="C22" s="51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3"/>
      <c r="AF22" s="63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16" t="s">
        <v>21</v>
      </c>
      <c r="AY22" s="74"/>
      <c r="AZ22" s="74"/>
      <c r="BA22" s="74"/>
      <c r="BB22" s="65"/>
      <c r="BC22" s="16" t="s">
        <v>22</v>
      </c>
      <c r="BD22" s="74"/>
      <c r="BE22" s="74"/>
      <c r="BF22" s="74"/>
      <c r="BG22" s="65"/>
      <c r="BH22" s="17" t="s">
        <v>23</v>
      </c>
      <c r="BT22" s="13" t="s">
        <v>30</v>
      </c>
    </row>
    <row r="23" spans="3:72" s="22" customFormat="1" ht="13.8" customHeight="1" x14ac:dyDescent="0.3">
      <c r="C23" s="51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3"/>
      <c r="AD23" s="21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 t="s">
        <v>23</v>
      </c>
      <c r="BT23" s="22" t="s">
        <v>31</v>
      </c>
    </row>
    <row r="24" spans="3:72" ht="13.8" customHeight="1" x14ac:dyDescent="0.3"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3"/>
      <c r="AF24" s="77" t="s">
        <v>36</v>
      </c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17" t="s">
        <v>23</v>
      </c>
    </row>
    <row r="25" spans="3:72" ht="13.8" customHeight="1" x14ac:dyDescent="0.3">
      <c r="C25" s="51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3"/>
      <c r="AF25" s="103"/>
      <c r="AG25" s="103"/>
      <c r="AH25" s="103"/>
      <c r="AI25" s="103"/>
      <c r="AJ25" s="103"/>
      <c r="AK25" s="103"/>
      <c r="AL25" s="103"/>
      <c r="AM25" s="103"/>
      <c r="AN25" s="103"/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T25" s="13" t="s">
        <v>33</v>
      </c>
    </row>
    <row r="26" spans="3:72" ht="13.8" customHeight="1" x14ac:dyDescent="0.3">
      <c r="C26" s="51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T26" s="13" t="s">
        <v>35</v>
      </c>
    </row>
    <row r="27" spans="3:72" ht="13.8" customHeight="1" x14ac:dyDescent="0.3">
      <c r="C27" s="51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3"/>
      <c r="AF27" s="103"/>
      <c r="AG27" s="103"/>
      <c r="AH27" s="103"/>
      <c r="AI27" s="103"/>
      <c r="AJ27" s="103"/>
      <c r="AK27" s="103"/>
      <c r="AL27" s="103"/>
      <c r="AM27" s="103"/>
      <c r="AN27" s="103"/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T27" s="13" t="s">
        <v>37</v>
      </c>
    </row>
    <row r="28" spans="3:72" ht="13.8" customHeight="1" x14ac:dyDescent="0.3">
      <c r="C28" s="51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T28" s="13" t="s">
        <v>38</v>
      </c>
    </row>
    <row r="29" spans="3:72" ht="13.8" customHeight="1" x14ac:dyDescent="0.3"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6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T29" s="13" t="s">
        <v>39</v>
      </c>
    </row>
    <row r="30" spans="3:72" ht="13.8" customHeight="1" x14ac:dyDescent="0.3">
      <c r="BT30" s="13" t="s">
        <v>40</v>
      </c>
    </row>
    <row r="31" spans="3:72" ht="13.8" customHeight="1" x14ac:dyDescent="0.3">
      <c r="BT31" s="13" t="s">
        <v>41</v>
      </c>
    </row>
    <row r="32" spans="3:72" ht="13.8" customHeight="1" x14ac:dyDescent="0.3">
      <c r="BT32" s="13" t="s">
        <v>42</v>
      </c>
    </row>
    <row r="33" spans="72:72" ht="13.8" customHeight="1" x14ac:dyDescent="0.3">
      <c r="BT33" s="13" t="s">
        <v>43</v>
      </c>
    </row>
    <row r="35" spans="72:72" ht="13.8" customHeight="1" x14ac:dyDescent="0.3">
      <c r="BT35" s="13" t="s">
        <v>95</v>
      </c>
    </row>
    <row r="36" spans="72:72" ht="13.8" customHeight="1" x14ac:dyDescent="0.3">
      <c r="BT36" s="13" t="s">
        <v>96</v>
      </c>
    </row>
    <row r="37" spans="72:72" ht="13.8" customHeight="1" x14ac:dyDescent="0.3">
      <c r="BT37" s="13" t="s">
        <v>97</v>
      </c>
    </row>
    <row r="39" spans="72:72" ht="13.8" customHeight="1" x14ac:dyDescent="0.3">
      <c r="BT39" s="13" t="s">
        <v>98</v>
      </c>
    </row>
    <row r="40" spans="72:72" ht="13.8" customHeight="1" x14ac:dyDescent="0.3">
      <c r="BT40" s="13" t="s">
        <v>99</v>
      </c>
    </row>
    <row r="41" spans="72:72" ht="13.8" customHeight="1" x14ac:dyDescent="0.3">
      <c r="BT41" s="13" t="s">
        <v>100</v>
      </c>
    </row>
  </sheetData>
  <sheetProtection algorithmName="SHA-512" hashValue="RA8/4p6q3bzr66m/AqncgSeDqokCGdbXE0JCRY+bjzrjeZi6fgvnhaGht30I9tEQUKZh0Ys3IURq4rVXS+e9QQ==" saltValue="OTBbt4qinLO9Z50waKhDSA==" spinCount="100000" sheet="1" selectLockedCells="1"/>
  <mergeCells count="43">
    <mergeCell ref="R7:AC7"/>
    <mergeCell ref="AY22:BB22"/>
    <mergeCell ref="C9:AC17"/>
    <mergeCell ref="C20:AC29"/>
    <mergeCell ref="AF15:AU15"/>
    <mergeCell ref="AX15:BB15"/>
    <mergeCell ref="AF16:AW16"/>
    <mergeCell ref="AY16:BB16"/>
    <mergeCell ref="AF17:AW17"/>
    <mergeCell ref="AP14:BG14"/>
    <mergeCell ref="AY17:BB17"/>
    <mergeCell ref="AF18:AW18"/>
    <mergeCell ref="AY18:BB18"/>
    <mergeCell ref="AF19:AW19"/>
    <mergeCell ref="AF24:BG24"/>
    <mergeCell ref="AF25:BG29"/>
    <mergeCell ref="BD18:BG18"/>
    <mergeCell ref="AP4:BG4"/>
    <mergeCell ref="AP5:BG5"/>
    <mergeCell ref="AP6:BG6"/>
    <mergeCell ref="AP7:BG7"/>
    <mergeCell ref="AP8:BG8"/>
    <mergeCell ref="AP9:BG9"/>
    <mergeCell ref="AP10:BG10"/>
    <mergeCell ref="AP11:BG11"/>
    <mergeCell ref="AP12:BG12"/>
    <mergeCell ref="AP13:BG13"/>
    <mergeCell ref="E2:AC2"/>
    <mergeCell ref="AF2:BF2"/>
    <mergeCell ref="BD21:BG21"/>
    <mergeCell ref="BD22:BG22"/>
    <mergeCell ref="AY20:BB20"/>
    <mergeCell ref="AF21:AW21"/>
    <mergeCell ref="AY21:BB21"/>
    <mergeCell ref="AF22:AW22"/>
    <mergeCell ref="C5:AC5"/>
    <mergeCell ref="BD19:BG19"/>
    <mergeCell ref="AY19:BB19"/>
    <mergeCell ref="AF20:AW20"/>
    <mergeCell ref="BD20:BG20"/>
    <mergeCell ref="BC15:BG15"/>
    <mergeCell ref="BD16:BG16"/>
    <mergeCell ref="BD17:BG17"/>
  </mergeCells>
  <conditionalFormatting sqref="R7:AC7">
    <cfRule type="cellIs" dxfId="3" priority="3" operator="equal">
      <formula>$BT$11</formula>
    </cfRule>
    <cfRule type="cellIs" dxfId="2" priority="4" operator="equal">
      <formula>$BT$12</formula>
    </cfRule>
  </conditionalFormatting>
  <conditionalFormatting sqref="AP14">
    <cfRule type="cellIs" dxfId="1" priority="1" operator="equal">
      <formula>$BT$11</formula>
    </cfRule>
    <cfRule type="cellIs" dxfId="0" priority="2" operator="equal">
      <formula>$BT$12</formula>
    </cfRule>
  </conditionalFormatting>
  <dataValidations count="4">
    <dataValidation type="list" allowBlank="1" showInputMessage="1" showErrorMessage="1" sqref="R7 AP14" xr:uid="{DB4BEB24-DD92-4BA3-B219-5DA2B3ECBBC2}">
      <formula1>$BT$10:$BT$12</formula1>
    </dataValidation>
    <dataValidation type="list" allowBlank="1" showInputMessage="1" showErrorMessage="1" sqref="AP4:BG12" xr:uid="{A665E82B-C6D5-49B8-9CBE-2D8B13A5F76E}">
      <formula1>$BT$34:$BT$37</formula1>
    </dataValidation>
    <dataValidation type="list" allowBlank="1" showInputMessage="1" showErrorMessage="1" sqref="C5:AC5" xr:uid="{26B5883A-5BBB-4D97-95DC-6E80463E30F3}">
      <formula1>$BT$38:$BT$41</formula1>
    </dataValidation>
    <dataValidation type="list" allowBlank="1" showInputMessage="1" showErrorMessage="1" sqref="AF25:BG29" xr:uid="{4B152966-736F-4656-B87C-09588D87E472}">
      <formula1>$BT$13:$BT$17</formula1>
    </dataValidation>
  </dataValidations>
  <pageMargins left="0.7" right="0.7" top="0.75" bottom="0.75" header="0.3" footer="0.3"/>
  <pageSetup paperSize="256" orientation="portrait" horizontalDpi="305" verticalDpi="30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23216-C226-4836-8DAF-8FE5F41D965F}">
  <sheetPr codeName="Sheet5"/>
  <dimension ref="A1:C1"/>
  <sheetViews>
    <sheetView showGridLines="0" workbookViewId="0">
      <selection activeCell="B3" sqref="B3"/>
    </sheetView>
  </sheetViews>
  <sheetFormatPr defaultColWidth="11.6640625" defaultRowHeight="14.4" x14ac:dyDescent="0.3"/>
  <cols>
    <col min="1" max="1" width="11.6640625" style="30"/>
    <col min="2" max="2" width="20.109375" style="46" customWidth="1"/>
    <col min="3" max="3" width="39" style="47" customWidth="1"/>
    <col min="4" max="16384" width="11.6640625" style="30"/>
  </cols>
  <sheetData>
    <row r="1" spans="1:3" s="45" customFormat="1" x14ac:dyDescent="0.3">
      <c r="A1" s="45" t="s">
        <v>151</v>
      </c>
      <c r="B1" s="45" t="s">
        <v>152</v>
      </c>
      <c r="C1" s="45" t="s">
        <v>153</v>
      </c>
    </row>
  </sheetData>
  <pageMargins left="0.7" right="0.7" top="0.75" bottom="0.75" header="0.3" footer="0.3"/>
  <pageSetup paperSize="256" orientation="portrait" horizontalDpi="305" verticalDpi="30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49B3-A9E2-4DA7-8BD9-534DD3E9BC2E}">
  <sheetPr codeName="Sheet3"/>
  <dimension ref="A1:S47"/>
  <sheetViews>
    <sheetView showGridLines="0" topLeftCell="A8" zoomScale="70" zoomScaleNormal="70" workbookViewId="0">
      <selection activeCell="B17" sqref="B17:I31"/>
    </sheetView>
  </sheetViews>
  <sheetFormatPr defaultColWidth="9.109375" defaultRowHeight="21" x14ac:dyDescent="0.4"/>
  <cols>
    <col min="1" max="1" width="3.5546875" style="1" customWidth="1"/>
    <col min="2" max="2" width="71.5546875" style="1" customWidth="1"/>
    <col min="3" max="3" width="38.88671875" style="11" customWidth="1"/>
    <col min="4" max="4" width="31.5546875" style="11" customWidth="1"/>
    <col min="5" max="9" width="10.33203125" style="11" customWidth="1"/>
    <col min="10" max="19" width="10.33203125" style="1" customWidth="1"/>
    <col min="20" max="16384" width="9.109375" style="1"/>
  </cols>
  <sheetData>
    <row r="1" spans="1:19" x14ac:dyDescent="0.4">
      <c r="A1" s="116" t="s">
        <v>101</v>
      </c>
      <c r="B1" s="116"/>
      <c r="C1" s="2"/>
      <c r="D1" s="2"/>
      <c r="E1" s="2"/>
      <c r="F1" s="2"/>
      <c r="G1" s="2"/>
    </row>
    <row r="2" spans="1:19" x14ac:dyDescent="0.4">
      <c r="B2" s="3" t="s">
        <v>102</v>
      </c>
      <c r="C2" s="104" t="str">
        <f>_xlfn.CONCAT('Script eVO MS | MA'!C5)</f>
        <v>sasa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</row>
    <row r="3" spans="1:19" x14ac:dyDescent="0.4">
      <c r="B3" s="3" t="s">
        <v>103</v>
      </c>
      <c r="C3" s="104" t="str">
        <f>_xlfn.CONCAT('Script eVO MS | MA'!C9)</f>
        <v>sasas</v>
      </c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</row>
    <row r="4" spans="1:19" x14ac:dyDescent="0.4">
      <c r="B4" s="3" t="s">
        <v>104</v>
      </c>
      <c r="C4" s="104" t="str">
        <f>_xlfn.CONCAT('Script eVO MS | MA'!C13)</f>
        <v>o</v>
      </c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</row>
    <row r="5" spans="1:19" ht="26.25" customHeight="1" x14ac:dyDescent="0.4">
      <c r="B5" s="3" t="s">
        <v>105</v>
      </c>
      <c r="C5" s="104" t="str">
        <f>_xlfn.CONCAT('Script eVO MS | MA'!C20)</f>
        <v/>
      </c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</row>
    <row r="6" spans="1:19" x14ac:dyDescent="0.4">
      <c r="B6" s="3" t="s">
        <v>106</v>
      </c>
      <c r="C6" s="104" t="str">
        <f>_xlfn.CONCAT('Script eVO MS | MA'!AQ2:BG2,'Script eVO MS | MA'!AF4:BG5)</f>
        <v/>
      </c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</row>
    <row r="7" spans="1:19" x14ac:dyDescent="0.4">
      <c r="B7" s="3" t="s">
        <v>107</v>
      </c>
      <c r="C7" s="104" t="str">
        <f>_xlfn.CONCAT('Script eVO MS | MA'!AO7:BG7,'Script eVO MS | MA'!AF9:BG10)</f>
        <v/>
      </c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</row>
    <row r="8" spans="1:19" x14ac:dyDescent="0.4">
      <c r="B8" s="3" t="s">
        <v>108</v>
      </c>
      <c r="C8" s="31" t="str">
        <f>IF('Script eVO MS | MA'!$AO$12="SIM. ",IF('Script eVO MS | MA'!AF14&lt;&gt;"",(_xlfn.CONCAT('Script eVO MS | MA'!AF14:BH14)),""),"Não.")</f>
        <v>Não.</v>
      </c>
      <c r="D8" s="31" t="str">
        <f>IF('Script eVO MS | MA'!$AO$12="SIM. ",IF('Script eVO MS | MA'!AF15&lt;&gt;"",(_xlfn.CONCAT('Script eVO MS | MA'!AF15:BH15)),""),"")</f>
        <v/>
      </c>
      <c r="E8" s="31" t="str">
        <f>IF('Script eVO MS | MA'!$AO$12="SIM. ",IF('Script eVO MS | MA'!AF16&lt;&gt;"",(_xlfn.CONCAT('Script eVO MS | MA'!AF16:BH16)),""),"")</f>
        <v/>
      </c>
      <c r="F8" s="31" t="str">
        <f>IF('Script eVO MS | MA'!$AO$12="SIM. ",IF('Script eVO MS | MA'!AF17&lt;&gt;"",(_xlfn.CONCAT('Script eVO MS | MA'!AF17:BH17)),""),"")</f>
        <v/>
      </c>
      <c r="G8" s="31" t="str">
        <f>IF('Script eVO MS | MA'!$AO$12="SIM. ",IF('Script eVO MS | MA'!AF18&lt;&gt;"",(_xlfn.CONCAT('Script eVO MS | MA'!AF18:BH18)),""),"")</f>
        <v/>
      </c>
      <c r="H8" s="31" t="str">
        <f>IF('Script eVO MS | MA'!$AO$12="SIM. ",IF('Script eVO MS | MA'!AF19&lt;&gt;"",(_xlfn.CONCAT('Script eVO MS | MA'!AF19:BH19)),""),"")</f>
        <v/>
      </c>
      <c r="I8" s="31" t="str">
        <f>IF('Script eVO MS | MA'!$AO$12="SIM. ",IF('Script eVO MS | MA'!AF20&lt;&gt;"",(_xlfn.CONCAT('Script eVO MS | MA'!AF20:BH20)),""),"")</f>
        <v/>
      </c>
      <c r="J8" s="31" t="str">
        <f>IF('Script eVO MS | MA'!$AO$12="SIM. ",IF('Script eVO MS | MA'!AF21&lt;&gt;"",(_xlfn.CONCAT('Script eVO MS | MA'!AF21:BH21)),""),"")</f>
        <v/>
      </c>
      <c r="K8" s="31" t="str">
        <f>IF('Script eVO MS | MA'!$AO$12="SIM. ",IF('Script eVO MS | MA'!AF22&lt;&gt;"",(_xlfn.CONCAT('Script eVO MS | MA'!AF22:BH22)),""),"")</f>
        <v/>
      </c>
      <c r="L8" s="31" t="str">
        <f>IF('Script eVO MS | MA'!$AO$12="SIM. ",IF('Script eVO MS | MA'!AF23&lt;&gt;"",(_xlfn.CONCAT('Script eVO MS | MA'!AF23:BH23)),""),"")</f>
        <v/>
      </c>
      <c r="M8" s="31" t="str">
        <f>IF('Script eVO MS | MA'!$AO$12="SIM. ",IF('Script eVO MS | MA'!AF24&lt;&gt;"",(_xlfn.CONCAT('Script eVO MS | MA'!AF24:BH24)),""),"")</f>
        <v/>
      </c>
      <c r="N8" s="31" t="str">
        <f>IF('Script eVO MS | MA'!$AO$12="SIM. ",IF('Script eVO MS | MA'!AF25&lt;&gt;"",(_xlfn.CONCAT('Script eVO MS | MA'!AF25:BH25)),""),"")</f>
        <v/>
      </c>
      <c r="O8" s="31" t="str">
        <f>IF('Script eVO MS | MA'!$AO$12="SIM. ",IF('Script eVO MS | MA'!AF26&lt;&gt;"",(_xlfn.CONCAT('Script eVO MS | MA'!AF26:BH26)),""),"")</f>
        <v/>
      </c>
      <c r="P8" s="31" t="str">
        <f>IF('Script eVO MS | MA'!$AO$12="SIM. ",IF('Script eVO MS | MA'!AF27&lt;&gt;"",(_xlfn.CONCAT('Script eVO MS | MA'!AF27:BH27)),""),"")</f>
        <v/>
      </c>
      <c r="Q8" s="31" t="str">
        <f>IF('Script eVO MS | MA'!$AO$12="SIM. ",IF('Script eVO MS | MA'!AF28&lt;&gt;"",(_xlfn.CONCAT('Script eVO MS | MA'!AF28:BH28)),""),"")</f>
        <v/>
      </c>
      <c r="R8" s="31" t="str">
        <f>IF('Script eVO MS | MA'!$AO$12="SIM. ",IF('Script eVO MS | MA'!AF29&lt;&gt;"",(_xlfn.CONCAT('Script eVO MS | MA'!AF29:BH29)),""),"")</f>
        <v/>
      </c>
      <c r="S8" s="31" t="str">
        <f>IF('Script eVO MS | MA'!$AO$12="SIM. ",IF('Script eVO MS | MA'!AF29&lt;&gt;"",(_xlfn.CONCAT('Script eVO MS | MA'!AF30:BH30)),""),"")</f>
        <v/>
      </c>
    </row>
    <row r="9" spans="1:19" ht="21" customHeight="1" x14ac:dyDescent="0.4">
      <c r="B9" s="3" t="s">
        <v>109</v>
      </c>
      <c r="C9" s="104" t="str">
        <f>_xlfn.CONCAT('Script eVO MS | MA'!E2)</f>
        <v>kjyhtgrferthgrW</v>
      </c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</row>
    <row r="10" spans="1:19" x14ac:dyDescent="0.4">
      <c r="B10" s="3" t="s">
        <v>110</v>
      </c>
      <c r="C10" s="104" t="str">
        <f>_xlfn.CONCAT('Script eVO MS | MA'!BJ24:CL24,'Script eVO MS | MA'!BJ25:CL25)</f>
        <v xml:space="preserve">C1 - Problema técnico. SCO1 - Problema já resolvido ou não apresentado na visita técnica. </v>
      </c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</row>
    <row r="11" spans="1:19" x14ac:dyDescent="0.4">
      <c r="B11" s="3" t="s">
        <v>112</v>
      </c>
      <c r="C11" s="105" t="str">
        <f>_xlfn.CONCAT('Script eVO MS | MA'!CB2:CL2)</f>
        <v/>
      </c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7"/>
    </row>
    <row r="12" spans="1:19" x14ac:dyDescent="0.4">
      <c r="B12" s="3" t="s">
        <v>111</v>
      </c>
      <c r="C12" s="34" t="str">
        <f>_xlfn.CONCAT('Script eVO MS | MA'!BJ6:CL6)</f>
        <v/>
      </c>
      <c r="D12" s="34" t="str">
        <f>_xlfn.CONCAT('Script eVO MS | MA'!BJ11:CL11)</f>
        <v/>
      </c>
      <c r="E12" s="34" t="str">
        <f>_xlfn.CONCAT('Script eVO MS | MA'!BJ15:CL15)</f>
        <v/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ht="116.25" customHeight="1" x14ac:dyDescent="0.4">
      <c r="B13" s="4" t="s">
        <v>147</v>
      </c>
      <c r="C13" s="108" t="str">
        <f>_xlfn.CONCAT('Script eVO MS | MA'!BJ28:CK30)</f>
        <v/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</row>
    <row r="14" spans="1:19" ht="21" customHeight="1" x14ac:dyDescent="0.4">
      <c r="B14" s="5"/>
    </row>
    <row r="15" spans="1:19" x14ac:dyDescent="0.4">
      <c r="B15" s="10"/>
      <c r="C15" s="104" t="s">
        <v>113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19" x14ac:dyDescent="0.4">
      <c r="B16" s="6" t="s">
        <v>114</v>
      </c>
      <c r="C16" s="2"/>
      <c r="D16" s="2"/>
      <c r="E16" s="2"/>
      <c r="F16" s="2"/>
      <c r="G16" s="2"/>
      <c r="H16" s="2"/>
    </row>
    <row r="17" spans="2:9" x14ac:dyDescent="0.4">
      <c r="B17" s="37" t="s">
        <v>115</v>
      </c>
      <c r="C17" s="38"/>
      <c r="D17" s="38"/>
      <c r="E17" s="38"/>
      <c r="F17" s="38"/>
      <c r="G17" s="38"/>
      <c r="H17" s="38"/>
      <c r="I17" s="39"/>
    </row>
    <row r="18" spans="2:9" x14ac:dyDescent="0.4">
      <c r="B18" s="7" t="s">
        <v>109</v>
      </c>
      <c r="C18" s="109" t="str">
        <f>_xlfn.CONCAT('Script FollowUp'!E2)</f>
        <v/>
      </c>
      <c r="D18" s="109"/>
      <c r="E18" s="109"/>
      <c r="F18" s="109"/>
      <c r="G18" s="109"/>
      <c r="H18" s="109"/>
      <c r="I18" s="109"/>
    </row>
    <row r="19" spans="2:9" x14ac:dyDescent="0.4">
      <c r="B19" s="8" t="s">
        <v>116</v>
      </c>
      <c r="C19" s="109" t="str">
        <f>_xlfn.CONCAT('Script FollowUp'!H6)</f>
        <v/>
      </c>
      <c r="D19" s="109"/>
      <c r="E19" s="109"/>
      <c r="F19" s="109"/>
      <c r="G19" s="109"/>
      <c r="H19" s="109"/>
      <c r="I19" s="109"/>
    </row>
    <row r="20" spans="2:9" x14ac:dyDescent="0.4">
      <c r="B20" s="8" t="s">
        <v>117</v>
      </c>
      <c r="C20" s="109" t="str">
        <f>_xlfn.CONCAT('Script FollowUp'!C9)</f>
        <v/>
      </c>
      <c r="D20" s="109"/>
      <c r="E20" s="109"/>
      <c r="F20" s="109"/>
      <c r="G20" s="109"/>
      <c r="H20" s="109"/>
      <c r="I20" s="109"/>
    </row>
    <row r="21" spans="2:9" x14ac:dyDescent="0.4">
      <c r="B21" s="8" t="s">
        <v>118</v>
      </c>
      <c r="C21" s="109" t="str">
        <f>_xlfn.CONCAT('Script FollowUp'!C19)</f>
        <v/>
      </c>
      <c r="D21" s="109"/>
      <c r="E21" s="109"/>
      <c r="F21" s="109"/>
      <c r="G21" s="109"/>
      <c r="H21" s="109"/>
      <c r="I21" s="109"/>
    </row>
    <row r="22" spans="2:9" x14ac:dyDescent="0.4">
      <c r="B22" s="8" t="s">
        <v>119</v>
      </c>
      <c r="C22" s="109" t="str">
        <f>_xlfn.CONCAT('Script FollowUp'!C26)</f>
        <v/>
      </c>
      <c r="D22" s="109"/>
      <c r="E22" s="109"/>
      <c r="F22" s="109"/>
      <c r="G22" s="109"/>
      <c r="H22" s="109"/>
      <c r="I22" s="109"/>
    </row>
    <row r="23" spans="2:9" ht="46.5" customHeight="1" x14ac:dyDescent="0.4">
      <c r="B23" s="110" t="s">
        <v>120</v>
      </c>
      <c r="C23" s="111"/>
      <c r="D23" s="111"/>
      <c r="E23" s="111"/>
      <c r="F23" s="111"/>
      <c r="G23" s="111"/>
      <c r="H23" s="111"/>
      <c r="I23" s="112"/>
    </row>
    <row r="24" spans="2:9" x14ac:dyDescent="0.4">
      <c r="B24" s="113" t="s">
        <v>44</v>
      </c>
      <c r="C24" s="114"/>
      <c r="D24" s="114"/>
      <c r="E24" s="114"/>
      <c r="F24" s="114"/>
      <c r="G24" s="114"/>
      <c r="H24" s="114"/>
      <c r="I24" s="115"/>
    </row>
    <row r="25" spans="2:9" x14ac:dyDescent="0.4">
      <c r="B25" s="8" t="s">
        <v>46</v>
      </c>
      <c r="C25" s="109" t="str">
        <f>_xlfn.CONCAT('Script FollowUp'!AS4,'Script FollowUp'!BH4)</f>
        <v xml:space="preserve"> hora(s). </v>
      </c>
      <c r="D25" s="109"/>
      <c r="E25" s="109"/>
      <c r="F25" s="109"/>
      <c r="G25" s="109"/>
      <c r="H25" s="109"/>
      <c r="I25" s="109"/>
    </row>
    <row r="26" spans="2:9" x14ac:dyDescent="0.4">
      <c r="B26" s="8" t="s">
        <v>49</v>
      </c>
      <c r="C26" s="109" t="str">
        <f>_xlfn.CONCAT('Script FollowUp'!AS5,'Script FollowUp'!BH5)</f>
        <v xml:space="preserve"> dia(s). </v>
      </c>
      <c r="D26" s="109"/>
      <c r="E26" s="109"/>
      <c r="F26" s="109"/>
      <c r="G26" s="109"/>
      <c r="H26" s="109"/>
      <c r="I26" s="109"/>
    </row>
    <row r="27" spans="2:9" x14ac:dyDescent="0.4">
      <c r="B27" s="8" t="s">
        <v>53</v>
      </c>
      <c r="C27" s="109" t="str">
        <f>_xlfn.CONCAT('Script FollowUp'!AS6)</f>
        <v/>
      </c>
      <c r="D27" s="109"/>
      <c r="E27" s="109"/>
      <c r="F27" s="109"/>
      <c r="G27" s="109"/>
      <c r="H27" s="109"/>
      <c r="I27" s="109"/>
    </row>
    <row r="28" spans="2:9" x14ac:dyDescent="0.4">
      <c r="B28" s="8" t="s">
        <v>121</v>
      </c>
      <c r="C28" s="109" t="str">
        <f>_xlfn.CONCAT('Script FollowUp'!AM7,'Script FollowUp'!AF9)</f>
        <v/>
      </c>
      <c r="D28" s="109"/>
      <c r="E28" s="109"/>
      <c r="F28" s="109"/>
      <c r="G28" s="109"/>
      <c r="H28" s="109"/>
      <c r="I28" s="109"/>
    </row>
    <row r="29" spans="2:9" s="9" customFormat="1" ht="48.75" customHeight="1" x14ac:dyDescent="0.3">
      <c r="B29" s="7" t="s">
        <v>122</v>
      </c>
      <c r="C29" s="3" t="str">
        <f>IF('Script FollowUp'!AT12="SIM. ",IF('Script FollowUp'!AF14&lt;&gt;"",(_xlfn.CONCAT('Script FollowUp'!AF14:BH14)),""),"Não. ")</f>
        <v xml:space="preserve">Não. </v>
      </c>
      <c r="D29" s="43" t="str">
        <f>IF('Script FollowUp'!AT12="SIM. ",IF('Script FollowUp'!AF15&lt;&gt;"",(_xlfn.CONCAT('Script FollowUp'!AF15:BH15)),""),"")</f>
        <v/>
      </c>
      <c r="E29" s="3" t="str">
        <f>IF('Script FollowUp'!AT12="SIM. ",IF('Script FollowUp'!AF16&lt;&gt;"",(_xlfn.CONCAT('Script FollowUp'!AF16:BH16)),""),"")</f>
        <v/>
      </c>
      <c r="F29" s="3" t="str">
        <f>IF('Script FollowUp'!AT12="SIM. ",IF('Script FollowUp'!AF17&lt;&gt;"",(_xlfn.CONCAT('Script FollowUp'!AF17:BH17)),""),"")</f>
        <v/>
      </c>
      <c r="G29" s="3" t="str">
        <f>IF('Script FollowUp'!AT12="SIM. ",IF('Script FollowUp'!AF18&lt;&gt;"",(_xlfn.CONCAT('Script FollowUp'!AF18:BH18)),""),"")</f>
        <v/>
      </c>
      <c r="H29" s="3" t="str">
        <f>IF('Script FollowUp'!AT12="SIM. ",IF('Script FollowUp'!AF19&lt;&gt;"",(_xlfn.CONCAT('Script FollowUp'!AF19:BH19)),""),"")</f>
        <v/>
      </c>
      <c r="I29" s="3" t="str">
        <f>IF('Script FollowUp'!AT12="SIM. ",IF('Script FollowUp'!AF20&lt;&gt;"",(_xlfn.CONCAT('Script FollowUp'!AF20:BH20)),""),"")</f>
        <v/>
      </c>
    </row>
    <row r="30" spans="2:9" x14ac:dyDescent="0.4">
      <c r="B30" s="8" t="s">
        <v>123</v>
      </c>
      <c r="C30" s="109" t="str">
        <f>_xlfn.CONCAT('Script FollowUp'!AL22:BG22)</f>
        <v/>
      </c>
      <c r="D30" s="109"/>
      <c r="E30" s="109"/>
      <c r="F30" s="109"/>
      <c r="G30" s="109"/>
      <c r="H30" s="109"/>
      <c r="I30" s="109"/>
    </row>
    <row r="31" spans="2:9" ht="42" x14ac:dyDescent="0.4">
      <c r="B31" s="10" t="s">
        <v>124</v>
      </c>
      <c r="C31" s="109" t="str">
        <f>_xlfn.CONCAT('Script FollowUp'!AF26)</f>
        <v/>
      </c>
      <c r="D31" s="109"/>
      <c r="E31" s="109"/>
      <c r="F31" s="109"/>
      <c r="G31" s="109"/>
      <c r="H31" s="109"/>
      <c r="I31" s="109"/>
    </row>
    <row r="32" spans="2:9" x14ac:dyDescent="0.4">
      <c r="B32" s="6" t="s">
        <v>125</v>
      </c>
      <c r="C32" s="2"/>
      <c r="D32" s="2"/>
      <c r="E32" s="2"/>
      <c r="F32" s="2"/>
      <c r="G32" s="2"/>
      <c r="H32" s="2"/>
    </row>
    <row r="33" spans="2:9" ht="21" customHeight="1" x14ac:dyDescent="0.4">
      <c r="B33" s="8" t="s">
        <v>126</v>
      </c>
      <c r="C33" s="105" t="str">
        <f>_xlfn.CONCAT('Script eVO MP'!C5:AC5)</f>
        <v/>
      </c>
      <c r="D33" s="106"/>
      <c r="E33" s="106"/>
      <c r="F33" s="106"/>
      <c r="G33" s="106"/>
      <c r="H33" s="106"/>
      <c r="I33" s="107"/>
    </row>
    <row r="34" spans="2:9" x14ac:dyDescent="0.4">
      <c r="B34" s="8" t="s">
        <v>127</v>
      </c>
      <c r="C34" s="105" t="str">
        <f>IF(_xlfn.CONCAT('Script eVO MP'!R7:AC7) = "Sim. ", _xlfn.CONCAT('Script eVO MP'!C9:AC17), "N/A")</f>
        <v>N/A</v>
      </c>
      <c r="D34" s="106"/>
      <c r="E34" s="106"/>
      <c r="F34" s="106"/>
      <c r="G34" s="106"/>
      <c r="H34" s="106"/>
      <c r="I34" s="107"/>
    </row>
    <row r="35" spans="2:9" x14ac:dyDescent="0.4">
      <c r="B35" s="8" t="s">
        <v>128</v>
      </c>
      <c r="C35" s="105" t="str">
        <f>IF(_xlfn.CONCAT('Script eVO MP'!R7:AC7) = "Sim. ", _xlfn.CONCAT('Script eVO MP'!C20:AC29), "N/A")</f>
        <v>N/A</v>
      </c>
      <c r="D35" s="106"/>
      <c r="E35" s="106"/>
      <c r="F35" s="106"/>
      <c r="G35" s="106"/>
      <c r="H35" s="106"/>
      <c r="I35" s="107"/>
    </row>
    <row r="36" spans="2:9" x14ac:dyDescent="0.4">
      <c r="B36" s="10" t="s">
        <v>76</v>
      </c>
      <c r="C36" s="110" t="str">
        <f>_xlfn.CONCAT('Script eVO MP'!AP4:BG4)</f>
        <v/>
      </c>
      <c r="D36" s="111"/>
      <c r="E36" s="111"/>
      <c r="F36" s="111"/>
      <c r="G36" s="111"/>
      <c r="H36" s="111"/>
      <c r="I36" s="112"/>
    </row>
    <row r="37" spans="2:9" x14ac:dyDescent="0.4">
      <c r="B37" s="8" t="s">
        <v>129</v>
      </c>
      <c r="C37" s="110" t="str">
        <f>_xlfn.CONCAT('Script eVO MP'!AP5:BG5)</f>
        <v/>
      </c>
      <c r="D37" s="111"/>
      <c r="E37" s="111"/>
      <c r="F37" s="111"/>
      <c r="G37" s="111"/>
      <c r="H37" s="111"/>
      <c r="I37" s="112"/>
    </row>
    <row r="38" spans="2:9" x14ac:dyDescent="0.4">
      <c r="B38" s="8" t="s">
        <v>80</v>
      </c>
      <c r="C38" s="110" t="str">
        <f>_xlfn.CONCAT('Script eVO MP'!AP6:BG6)</f>
        <v/>
      </c>
      <c r="D38" s="111"/>
      <c r="E38" s="111"/>
      <c r="F38" s="111"/>
      <c r="G38" s="111"/>
      <c r="H38" s="111"/>
      <c r="I38" s="112"/>
    </row>
    <row r="39" spans="2:9" x14ac:dyDescent="0.4">
      <c r="B39" s="8" t="s">
        <v>130</v>
      </c>
      <c r="C39" s="110" t="str">
        <f>_xlfn.CONCAT('Script eVO MP'!AP7:BG7)</f>
        <v/>
      </c>
      <c r="D39" s="111"/>
      <c r="E39" s="111"/>
      <c r="F39" s="111"/>
      <c r="G39" s="111"/>
      <c r="H39" s="111"/>
      <c r="I39" s="112"/>
    </row>
    <row r="40" spans="2:9" x14ac:dyDescent="0.4">
      <c r="B40" s="8" t="s">
        <v>131</v>
      </c>
      <c r="C40" s="110" t="str">
        <f>_xlfn.CONCAT('Script eVO MP'!AP8:BG8)</f>
        <v/>
      </c>
      <c r="D40" s="111"/>
      <c r="E40" s="111"/>
      <c r="F40" s="111"/>
      <c r="G40" s="111"/>
      <c r="H40" s="111"/>
      <c r="I40" s="112"/>
    </row>
    <row r="41" spans="2:9" x14ac:dyDescent="0.4">
      <c r="B41" s="8" t="s">
        <v>132</v>
      </c>
      <c r="C41" s="110" t="str">
        <f>_xlfn.CONCAT('Script eVO MP'!AP9:BG9)</f>
        <v/>
      </c>
      <c r="D41" s="111"/>
      <c r="E41" s="111"/>
      <c r="F41" s="111"/>
      <c r="G41" s="111"/>
      <c r="H41" s="111"/>
      <c r="I41" s="112"/>
    </row>
    <row r="42" spans="2:9" x14ac:dyDescent="0.4">
      <c r="B42" s="8" t="s">
        <v>133</v>
      </c>
      <c r="C42" s="110" t="str">
        <f>_xlfn.CONCAT('Script eVO MP'!AP10:BG10)</f>
        <v/>
      </c>
      <c r="D42" s="111"/>
      <c r="E42" s="111"/>
      <c r="F42" s="111"/>
      <c r="G42" s="111"/>
      <c r="H42" s="111"/>
      <c r="I42" s="112"/>
    </row>
    <row r="43" spans="2:9" x14ac:dyDescent="0.4">
      <c r="B43" s="8" t="s">
        <v>134</v>
      </c>
      <c r="C43" s="110" t="str">
        <f>_xlfn.CONCAT('Script eVO MP'!AP11:BG11)</f>
        <v/>
      </c>
      <c r="D43" s="111"/>
      <c r="E43" s="111"/>
      <c r="F43" s="111"/>
      <c r="G43" s="111"/>
      <c r="H43" s="111"/>
      <c r="I43" s="112"/>
    </row>
    <row r="44" spans="2:9" x14ac:dyDescent="0.4">
      <c r="B44" s="8" t="s">
        <v>135</v>
      </c>
      <c r="C44" s="110" t="str">
        <f>_xlfn.CONCAT('Script eVO MP'!AP12:BG12)</f>
        <v/>
      </c>
      <c r="D44" s="111"/>
      <c r="E44" s="111"/>
      <c r="F44" s="111"/>
      <c r="G44" s="111"/>
      <c r="H44" s="111"/>
      <c r="I44" s="112"/>
    </row>
    <row r="45" spans="2:9" ht="21" customHeight="1" x14ac:dyDescent="0.4">
      <c r="B45" s="8" t="s">
        <v>136</v>
      </c>
      <c r="C45" s="10" t="str">
        <f>IF('Script eVO MP'!AP14="SIM. ",IF('Script eVO MP'!AF16&lt;&gt;"",(_xlfn.CONCAT('Script eVO MP'!AF16:BH16)),""),"Não.")</f>
        <v>Não.</v>
      </c>
      <c r="D45" s="10" t="str">
        <f>IF('Script eVO MP'!AP14="SIM. ",IF('Script eVO MP'!AF17&lt;&gt;"",(_xlfn.CONCAT('Script eVO MP'!AF17:BH17)),""),"")</f>
        <v/>
      </c>
      <c r="E45" s="10" t="str">
        <f>IF('Script eVO MP'!AP14="SIM. ",IF('Script eVO MP'!AF18&lt;&gt;"",(_xlfn.CONCAT('Script eVO MP'!AF18:BH18)),""),"")</f>
        <v/>
      </c>
      <c r="F45" s="10" t="str">
        <f>IF('Script eVO MP'!AP14="SIM. ",IF('Script eVO MP'!AF19&lt;&gt;"",(_xlfn.CONCAT('Script eVO MP'!AF19:BH19)),""),"")</f>
        <v/>
      </c>
      <c r="G45" s="10" t="str">
        <f>IF('Script eVO MP'!AP14="SIM. ",IF('Script eVO MP'!AF20&lt;&gt;"",(_xlfn.CONCAT('Script eVO MP'!AF20:BH20)),""),"")</f>
        <v/>
      </c>
      <c r="H45" s="10" t="str">
        <f>IF('Script eVO MP'!AP14="SIM. ",IF('Script eVO MP'!AF21&lt;&gt;"",(_xlfn.CONCAT('Script eVO MP'!AF21:BH21)),""),"")</f>
        <v/>
      </c>
      <c r="I45" s="10" t="str">
        <f>IF('Script eVO MP'!AP14="SIM. ",IF('Script eVO MP'!AF22&lt;&gt;"",(_xlfn.CONCAT('Script eVO MP'!AF22:BH22)),""),"")</f>
        <v/>
      </c>
    </row>
    <row r="46" spans="2:9" x14ac:dyDescent="0.4">
      <c r="B46" s="8" t="s">
        <v>109</v>
      </c>
      <c r="C46" s="110" t="str">
        <f>_xlfn.CONCAT('Script eVO MP'!E2:AC2)</f>
        <v>Murilo</v>
      </c>
      <c r="D46" s="111"/>
      <c r="E46" s="111"/>
      <c r="F46" s="111"/>
      <c r="G46" s="111"/>
      <c r="H46" s="111"/>
      <c r="I46" s="112"/>
    </row>
    <row r="47" spans="2:9" ht="21" customHeight="1" x14ac:dyDescent="0.4">
      <c r="B47" s="8"/>
      <c r="C47" s="110" t="str">
        <f>_xlfn.CONCAT('Script eVO MP'!AF25:BG29)</f>
        <v/>
      </c>
      <c r="D47" s="111"/>
      <c r="E47" s="111"/>
      <c r="F47" s="111"/>
      <c r="G47" s="111"/>
      <c r="H47" s="111"/>
      <c r="I47" s="112"/>
    </row>
  </sheetData>
  <sheetProtection algorithmName="SHA-512" hashValue="3zLuxi3CUTlwdAnProvBeecGNV7ztQz3j9wRozQRd1GXh58eBSAsgSeDeAmAB9CcUmnr1KFK0Zyc9z8Qb7e7yA==" saltValue="msg+nFQRcxlu8/KsW7tw5Q==" spinCount="100000" sheet="1" selectLockedCells="1" selectUnlockedCells="1"/>
  <mergeCells count="39">
    <mergeCell ref="A1:B1"/>
    <mergeCell ref="C43:I43"/>
    <mergeCell ref="C44:I44"/>
    <mergeCell ref="C46:I46"/>
    <mergeCell ref="C47:I47"/>
    <mergeCell ref="C38:I38"/>
    <mergeCell ref="C39:I39"/>
    <mergeCell ref="C40:I40"/>
    <mergeCell ref="C41:I41"/>
    <mergeCell ref="C42:I42"/>
    <mergeCell ref="C33:I33"/>
    <mergeCell ref="C34:I34"/>
    <mergeCell ref="C35:I35"/>
    <mergeCell ref="C36:I36"/>
    <mergeCell ref="C37:I37"/>
    <mergeCell ref="C25:I25"/>
    <mergeCell ref="B23:I23"/>
    <mergeCell ref="B24:I24"/>
    <mergeCell ref="C18:I18"/>
    <mergeCell ref="C19:I19"/>
    <mergeCell ref="C20:I20"/>
    <mergeCell ref="C21:I21"/>
    <mergeCell ref="C22:I22"/>
    <mergeCell ref="C26:I26"/>
    <mergeCell ref="C27:I27"/>
    <mergeCell ref="C28:I28"/>
    <mergeCell ref="C30:I30"/>
    <mergeCell ref="C31:I31"/>
    <mergeCell ref="C2:S2"/>
    <mergeCell ref="C11:S11"/>
    <mergeCell ref="C13:S13"/>
    <mergeCell ref="C15:S15"/>
    <mergeCell ref="C10:S10"/>
    <mergeCell ref="C9:S9"/>
    <mergeCell ref="C3:S3"/>
    <mergeCell ref="C7:S7"/>
    <mergeCell ref="C6:S6"/>
    <mergeCell ref="C5:S5"/>
    <mergeCell ref="C4:S4"/>
  </mergeCells>
  <pageMargins left="0.7" right="0.7" top="0.75" bottom="0.75" header="0.3" footer="0.3"/>
  <pageSetup paperSize="256" orientation="portrait" horizontalDpi="305" verticalDpi="30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8f143d-dab6-4f08-ae27-017ceb1f39c0" xsi:nil="true"/>
    <lcf76f155ced4ddcb4097134ff3c332f xmlns="e5977d90-d896-4d13-8e2e-4a169f346b8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A713FACA3D9714C81256D9F29F59C59" ma:contentTypeVersion="18" ma:contentTypeDescription="Create a new document." ma:contentTypeScope="" ma:versionID="f932983d72eb154510d040d779d481a0">
  <xsd:schema xmlns:xsd="http://www.w3.org/2001/XMLSchema" xmlns:xs="http://www.w3.org/2001/XMLSchema" xmlns:p="http://schemas.microsoft.com/office/2006/metadata/properties" xmlns:ns2="b18f143d-dab6-4f08-ae27-017ceb1f39c0" xmlns:ns3="e5977d90-d896-4d13-8e2e-4a169f346b8c" targetNamespace="http://schemas.microsoft.com/office/2006/metadata/properties" ma:root="true" ma:fieldsID="571abeb6f6d4191077399b5c2fb7673a" ns2:_="" ns3:_="">
    <xsd:import namespace="b18f143d-dab6-4f08-ae27-017ceb1f39c0"/>
    <xsd:import namespace="e5977d90-d896-4d13-8e2e-4a169f346b8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8f143d-dab6-4f08-ae27-017ceb1f39c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ea39c87-2a88-4e60-bb7f-602eeee1bb4f}" ma:internalName="TaxCatchAll" ma:showField="CatchAllData" ma:web="b18f143d-dab6-4f08-ae27-017ceb1f3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977d90-d896-4d13-8e2e-4a169f346b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5a3e8f82-da09-4279-aed2-eee19e49ff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963A332-B375-4A65-9CD7-57A1D33E7067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e0999e87-9d04-443e-a459-77e078ac7a0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f4b188cd-926a-40af-9cea-10492d843f39"/>
    <ds:schemaRef ds:uri="http://www.w3.org/XML/1998/namespace"/>
    <ds:schemaRef ds:uri="http://purl.org/dc/dcmitype/"/>
    <ds:schemaRef ds:uri="b18f143d-dab6-4f08-ae27-017ceb1f39c0"/>
    <ds:schemaRef ds:uri="e5977d90-d896-4d13-8e2e-4a169f346b8c"/>
  </ds:schemaRefs>
</ds:datastoreItem>
</file>

<file path=customXml/itemProps2.xml><?xml version="1.0" encoding="utf-8"?>
<ds:datastoreItem xmlns:ds="http://schemas.openxmlformats.org/officeDocument/2006/customXml" ds:itemID="{1A557DDB-3733-49B2-83BB-D9BF6B00A5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8f143d-dab6-4f08-ae27-017ceb1f39c0"/>
    <ds:schemaRef ds:uri="e5977d90-d896-4d13-8e2e-4a169f346b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A2AB5F1-4B7F-4B56-84F8-EEAE564FF94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Script eVO MS | MA</vt:lpstr>
      <vt:lpstr>Script FollowUp</vt:lpstr>
      <vt:lpstr>Script eVO MP</vt:lpstr>
      <vt:lpstr>Notas E-mails</vt:lpstr>
      <vt:lpstr>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Nogueira, Jean Carlos Rodrigo</dc:creator>
  <cp:keywords/>
  <dc:description/>
  <cp:lastModifiedBy>Wagner Bizio, Felipe</cp:lastModifiedBy>
  <cp:revision/>
  <dcterms:created xsi:type="dcterms:W3CDTF">2024-01-16T17:06:02Z</dcterms:created>
  <dcterms:modified xsi:type="dcterms:W3CDTF">2024-10-10T06:04:41Z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6dbec8-95a8-4638-9f5f-bd076536645c_Enabled">
    <vt:lpwstr>true</vt:lpwstr>
  </property>
  <property fmtid="{D5CDD505-2E9C-101B-9397-08002B2CF9AE}" pid="3" name="MSIP_Label_ff6dbec8-95a8-4638-9f5f-bd076536645c_SetDate">
    <vt:lpwstr>2024-01-16T18:15:31Z</vt:lpwstr>
  </property>
  <property fmtid="{D5CDD505-2E9C-101B-9397-08002B2CF9AE}" pid="4" name="MSIP_Label_ff6dbec8-95a8-4638-9f5f-bd076536645c_Method">
    <vt:lpwstr>Standard</vt:lpwstr>
  </property>
  <property fmtid="{D5CDD505-2E9C-101B-9397-08002B2CF9AE}" pid="5" name="MSIP_Label_ff6dbec8-95a8-4638-9f5f-bd076536645c_Name">
    <vt:lpwstr>Restricted - Default</vt:lpwstr>
  </property>
  <property fmtid="{D5CDD505-2E9C-101B-9397-08002B2CF9AE}" pid="6" name="MSIP_Label_ff6dbec8-95a8-4638-9f5f-bd076536645c_SiteId">
    <vt:lpwstr>5dbf1add-202a-4b8d-815b-bf0fb024e033</vt:lpwstr>
  </property>
  <property fmtid="{D5CDD505-2E9C-101B-9397-08002B2CF9AE}" pid="7" name="MSIP_Label_ff6dbec8-95a8-4638-9f5f-bd076536645c_ActionId">
    <vt:lpwstr>97065edc-b549-4bc1-b732-f419ff5d3ba9</vt:lpwstr>
  </property>
  <property fmtid="{D5CDD505-2E9C-101B-9397-08002B2CF9AE}" pid="8" name="MSIP_Label_ff6dbec8-95a8-4638-9f5f-bd076536645c_ContentBits">
    <vt:lpwstr>0</vt:lpwstr>
  </property>
  <property fmtid="{D5CDD505-2E9C-101B-9397-08002B2CF9AE}" pid="9" name="ContentTypeId">
    <vt:lpwstr>0x0101008A713FACA3D9714C81256D9F29F59C59</vt:lpwstr>
  </property>
  <property fmtid="{D5CDD505-2E9C-101B-9397-08002B2CF9AE}" pid="10" name="MediaServiceImageTags">
    <vt:lpwstr/>
  </property>
</Properties>
</file>